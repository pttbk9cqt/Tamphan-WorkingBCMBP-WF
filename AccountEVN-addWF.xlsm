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/>
  <workbookPr codeName="ThisWorkbook"/>
  <mc:AlternateContent xmlns:mc="http://schemas.openxmlformats.org/markup-compatibility/2006">
    <mc:Choice Requires="x15">
      <x15ac:absPath xmlns:x15ac="http://schemas.microsoft.com/office/spreadsheetml/2010/11/ac" url="E:\Điện\Đóng tiền điện\"/>
    </mc:Choice>
  </mc:AlternateContent>
  <xr:revisionPtr revIDLastSave="0" documentId="13_ncr:1_{B22CEFAB-15CD-4C47-A876-28FBF64B1489}" xr6:coauthVersionLast="47" xr6:coauthVersionMax="47" xr10:uidLastSave="{00000000-0000-0000-0000-000000000000}"/>
  <bookViews>
    <workbookView xWindow="-28920" yWindow="-120" windowWidth="29040" windowHeight="15720" xr2:uid="{768E5D6D-5D85-44D4-B672-EF8A241277C0}"/>
  </bookViews>
  <sheets>
    <sheet name="Sheet" sheetId="2" r:id="rId1"/>
    <sheet name="AM16 web" sheetId="17" r:id="rId2"/>
    <sheet name=" gửi Ánh" sheetId="16" r:id="rId3"/>
    <sheet name="Đã thanh lý" sheetId="12" r:id="rId4"/>
    <sheet name="Ánh chuyển" sheetId="13" r:id="rId5"/>
    <sheet name="Chị VA gửi 01.12.2025" sheetId="11" r:id="rId6"/>
    <sheet name="Tách chuỗi" sheetId="6" r:id="rId7"/>
    <sheet name="Vlookup" sheetId="7" r:id="rId8"/>
    <sheet name="Tips" sheetId="4" r:id="rId9"/>
    <sheet name="Sắp xếp thứ tự" sheetId="8" r:id="rId10"/>
  </sheets>
  <definedNames>
    <definedName name="_xlnm._FilterDatabase" localSheetId="9" hidden="1">'Sắp xếp thứ tự'!$A$170:$E$251</definedName>
    <definedName name="_xleta.SUM" hidden="1" xlm="1">#NAME?</definedName>
    <definedName name="_xlnm.Print_Area" localSheetId="2">' gửi Ánh'!#REF!</definedName>
    <definedName name="_xlnm.Print_Area" localSheetId="1">'AM16 web'!$A$1:$X$83</definedName>
    <definedName name="_xlnm.Print_Area" localSheetId="4">'Ánh chuyển'!$A$1:$N$16</definedName>
    <definedName name="_xlnm.Print_Area" localSheetId="3">'Đã thanh lý'!$A$1:$U$4</definedName>
    <definedName name="_xlnm.Print_Area" localSheetId="9">'Sắp xếp thứ tự'!$A$1:$E$251</definedName>
    <definedName name="_xlnm.Print_Area" localSheetId="0">Sheet!$A$1:$N$322</definedName>
    <definedName name="_xlnm.Print_Area" localSheetId="7">Vlookup!$A$1:$P$129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" i="16" l="1" a="1"/>
  <c r="B4" i="16" s="1"/>
  <c r="C5" i="16"/>
  <c r="C6" i="16"/>
  <c r="C7" i="16"/>
  <c r="C8" i="16"/>
  <c r="C9" i="16"/>
  <c r="C10" i="16"/>
  <c r="C11" i="16"/>
  <c r="C12" i="16"/>
  <c r="C13" i="16"/>
  <c r="C14" i="16"/>
  <c r="C15" i="16"/>
  <c r="C16" i="16"/>
  <c r="C17" i="16"/>
  <c r="C4" i="16"/>
  <c r="T9" i="16"/>
  <c r="T8" i="16"/>
  <c r="G5" i="16" l="1"/>
  <c r="E5" i="16" s="1"/>
  <c r="F5" i="16" s="1"/>
  <c r="D17" i="16"/>
  <c r="D16" i="16"/>
  <c r="D15" i="16"/>
  <c r="D14" i="16"/>
  <c r="D13" i="16"/>
  <c r="D12" i="16"/>
  <c r="D11" i="16"/>
  <c r="D10" i="16"/>
  <c r="D9" i="16"/>
  <c r="D8" i="16"/>
  <c r="D7" i="16"/>
  <c r="D6" i="16"/>
  <c r="D5" i="16"/>
  <c r="G17" i="16"/>
  <c r="E17" i="16" s="1"/>
  <c r="F17" i="16" s="1"/>
  <c r="G16" i="16"/>
  <c r="E16" i="16" s="1"/>
  <c r="F16" i="16" s="1"/>
  <c r="G15" i="16"/>
  <c r="E15" i="16" s="1"/>
  <c r="F15" i="16" s="1"/>
  <c r="G14" i="16"/>
  <c r="E14" i="16" s="1"/>
  <c r="F14" i="16" s="1"/>
  <c r="G13" i="16"/>
  <c r="E13" i="16" s="1"/>
  <c r="F13" i="16" s="1"/>
  <c r="G12" i="16"/>
  <c r="E12" i="16" s="1"/>
  <c r="F12" i="16" s="1"/>
  <c r="G11" i="16"/>
  <c r="E11" i="16" s="1"/>
  <c r="F11" i="16" s="1"/>
  <c r="G10" i="16"/>
  <c r="E10" i="16" s="1"/>
  <c r="F10" i="16" s="1"/>
  <c r="G9" i="16"/>
  <c r="E9" i="16" s="1"/>
  <c r="F9" i="16" s="1"/>
  <c r="G8" i="16"/>
  <c r="E8" i="16" s="1"/>
  <c r="F8" i="16" s="1"/>
  <c r="G7" i="16"/>
  <c r="E7" i="16" s="1"/>
  <c r="F7" i="16" s="1"/>
  <c r="G6" i="16"/>
  <c r="E6" i="16" s="1"/>
  <c r="F6" i="16" s="1"/>
  <c r="D4" i="16"/>
  <c r="G4" i="16"/>
  <c r="E4" i="16" s="1"/>
  <c r="F4" i="16" s="1"/>
  <c r="D7" i="17"/>
  <c r="D2" i="17"/>
  <c r="C2" i="17"/>
  <c r="D5" i="17"/>
  <c r="D3" i="17"/>
  <c r="D6" i="17"/>
  <c r="D4" i="17"/>
  <c r="C4" i="17"/>
  <c r="D8" i="17"/>
  <c r="C8" i="17"/>
  <c r="D21" i="17"/>
  <c r="D22" i="17"/>
  <c r="D23" i="17"/>
  <c r="D74" i="17"/>
  <c r="D63" i="17"/>
  <c r="D75" i="17"/>
  <c r="D76" i="17"/>
  <c r="D77" i="17"/>
  <c r="D78" i="17"/>
  <c r="D79" i="17"/>
  <c r="D80" i="17"/>
  <c r="D81" i="17"/>
  <c r="D82" i="17"/>
  <c r="D83" i="17"/>
  <c r="D24" i="17"/>
  <c r="D25" i="17"/>
  <c r="D32" i="17"/>
  <c r="D26" i="17"/>
  <c r="D27" i="17"/>
  <c r="D28" i="17"/>
  <c r="D29" i="17"/>
  <c r="D30" i="17"/>
  <c r="D31" i="17"/>
  <c r="C31" i="17"/>
  <c r="D33" i="17"/>
  <c r="D34" i="17"/>
  <c r="D35" i="17"/>
  <c r="D36" i="17"/>
  <c r="D37" i="17"/>
  <c r="D38" i="17"/>
  <c r="D20" i="17"/>
  <c r="D39" i="17"/>
  <c r="D40" i="17"/>
  <c r="D41" i="17"/>
  <c r="D42" i="17"/>
  <c r="D73" i="17"/>
  <c r="D72" i="17"/>
  <c r="D71" i="17"/>
  <c r="D70" i="17"/>
  <c r="D69" i="17"/>
  <c r="D68" i="17"/>
  <c r="D67" i="17"/>
  <c r="D66" i="17"/>
  <c r="D19" i="17"/>
  <c r="D18" i="17"/>
  <c r="D65" i="17"/>
  <c r="D17" i="17"/>
  <c r="D16" i="17"/>
  <c r="C16" i="17"/>
  <c r="D15" i="17"/>
  <c r="D14" i="17"/>
  <c r="D13" i="17"/>
  <c r="D64" i="17"/>
  <c r="D12" i="17"/>
  <c r="D11" i="17"/>
  <c r="D10" i="17"/>
  <c r="D9" i="17"/>
  <c r="D44" i="17"/>
  <c r="D45" i="17"/>
  <c r="D46" i="17"/>
  <c r="D47" i="17"/>
  <c r="D48" i="17"/>
  <c r="C48" i="17"/>
  <c r="D49" i="17"/>
  <c r="D50" i="17"/>
  <c r="D51" i="17"/>
  <c r="D52" i="17"/>
  <c r="D53" i="17"/>
  <c r="D54" i="17"/>
  <c r="D55" i="17"/>
  <c r="D56" i="17"/>
  <c r="D57" i="17"/>
  <c r="D58" i="17"/>
  <c r="D59" i="17"/>
  <c r="D60" i="17"/>
  <c r="D61" i="17"/>
  <c r="D62" i="17"/>
  <c r="D43" i="17"/>
  <c r="W22" i="16"/>
  <c r="U12" i="16"/>
  <c r="V12" i="16" s="1"/>
  <c r="U11" i="16"/>
  <c r="V11" i="16" s="1"/>
  <c r="U21" i="16"/>
  <c r="V21" i="16" s="1"/>
  <c r="U20" i="16"/>
  <c r="V20" i="16" s="1"/>
  <c r="U19" i="16"/>
  <c r="V19" i="16" s="1"/>
  <c r="U18" i="16"/>
  <c r="V18" i="16" s="1"/>
  <c r="U15" i="16"/>
  <c r="V15" i="16" s="1"/>
  <c r="U13" i="16"/>
  <c r="V13" i="16" s="1"/>
  <c r="U14" i="16"/>
  <c r="V14" i="16" s="1"/>
  <c r="U10" i="16"/>
  <c r="V10" i="16" s="1"/>
  <c r="U17" i="16"/>
  <c r="V17" i="16" s="1"/>
  <c r="U16" i="16"/>
  <c r="V16" i="16" s="1"/>
  <c r="U9" i="16"/>
  <c r="V9" i="16" s="1"/>
  <c r="U8" i="16"/>
  <c r="V8" i="16" s="1"/>
  <c r="V22" i="16" l="1"/>
  <c r="U22" i="16"/>
  <c r="G16" i="13"/>
  <c r="L15" i="13"/>
  <c r="K15" i="13"/>
  <c r="J15" i="13"/>
  <c r="AD184" i="11"/>
  <c r="AC184" i="11"/>
  <c r="AB184" i="11"/>
  <c r="AD183" i="11"/>
  <c r="AC183" i="11"/>
  <c r="AB183" i="11"/>
  <c r="AD182" i="11"/>
  <c r="AC182" i="11"/>
  <c r="AB182" i="11"/>
  <c r="AD181" i="11"/>
  <c r="AC181" i="11"/>
  <c r="AB181" i="11"/>
  <c r="AD180" i="11"/>
  <c r="AC180" i="11"/>
  <c r="AB180" i="11"/>
  <c r="AD179" i="11"/>
  <c r="AC179" i="11"/>
  <c r="AB179" i="11"/>
  <c r="AD178" i="11"/>
  <c r="AC178" i="11"/>
  <c r="AB178" i="11"/>
  <c r="AD177" i="11"/>
  <c r="AC177" i="11"/>
  <c r="AB177" i="11"/>
  <c r="AD176" i="11"/>
  <c r="AC176" i="11"/>
  <c r="AB176" i="11"/>
  <c r="AD175" i="11"/>
  <c r="AC175" i="11"/>
  <c r="AB175" i="11"/>
  <c r="AD174" i="11"/>
  <c r="AC174" i="11"/>
  <c r="AB174" i="11"/>
  <c r="AD173" i="11"/>
  <c r="AC173" i="11"/>
  <c r="AB173" i="11"/>
  <c r="AD172" i="11"/>
  <c r="AC172" i="11"/>
  <c r="AB172" i="11"/>
  <c r="AD171" i="11"/>
  <c r="AC171" i="11"/>
  <c r="AB171" i="11"/>
  <c r="AD170" i="11"/>
  <c r="AC170" i="11"/>
  <c r="AB170" i="11"/>
  <c r="AD169" i="11"/>
  <c r="AC169" i="11"/>
  <c r="AB169" i="11"/>
  <c r="AD168" i="11"/>
  <c r="AC168" i="11"/>
  <c r="AB168" i="11"/>
  <c r="AD167" i="11"/>
  <c r="AC167" i="11"/>
  <c r="AB167" i="11"/>
  <c r="AD166" i="11"/>
  <c r="AC166" i="11"/>
  <c r="AB166" i="11"/>
  <c r="AD165" i="11"/>
  <c r="AC165" i="11"/>
  <c r="AB165" i="11"/>
  <c r="AD164" i="11"/>
  <c r="AC164" i="11"/>
  <c r="AB164" i="11"/>
  <c r="AD163" i="11"/>
  <c r="AC163" i="11"/>
  <c r="AB163" i="11"/>
  <c r="AD162" i="11"/>
  <c r="AC162" i="11"/>
  <c r="AB162" i="11"/>
  <c r="AD161" i="11"/>
  <c r="AC161" i="11"/>
  <c r="AB161" i="11"/>
  <c r="AD160" i="11"/>
  <c r="AC160" i="11"/>
  <c r="AB160" i="11"/>
  <c r="AD159" i="11"/>
  <c r="AC159" i="11"/>
  <c r="AB159" i="11"/>
  <c r="AD158" i="11"/>
  <c r="AC158" i="11"/>
  <c r="AB158" i="11"/>
  <c r="AD157" i="11"/>
  <c r="AC157" i="11"/>
  <c r="AB157" i="11"/>
  <c r="AD156" i="11"/>
  <c r="AC156" i="11"/>
  <c r="AB156" i="11"/>
  <c r="AD155" i="11"/>
  <c r="AC155" i="11"/>
  <c r="AB155" i="11"/>
  <c r="AD154" i="11"/>
  <c r="AC154" i="11"/>
  <c r="AB154" i="11"/>
  <c r="AD153" i="11"/>
  <c r="AC153" i="11"/>
  <c r="AB153" i="11"/>
  <c r="AD152" i="11"/>
  <c r="AC152" i="11"/>
  <c r="AB152" i="11"/>
  <c r="AD151" i="11"/>
  <c r="AC151" i="11"/>
  <c r="AB151" i="11"/>
  <c r="AD150" i="11"/>
  <c r="AC150" i="11"/>
  <c r="AB150" i="11"/>
  <c r="AD149" i="11"/>
  <c r="AC149" i="11"/>
  <c r="AB149" i="11"/>
  <c r="AD148" i="11"/>
  <c r="AC148" i="11"/>
  <c r="AB148" i="11"/>
  <c r="AD147" i="11"/>
  <c r="AC147" i="11"/>
  <c r="AB147" i="11"/>
  <c r="AD146" i="11"/>
  <c r="AC146" i="11"/>
  <c r="AB146" i="11"/>
  <c r="AD145" i="11"/>
  <c r="AC145" i="11"/>
  <c r="AB145" i="11"/>
  <c r="AD144" i="11"/>
  <c r="AC144" i="11"/>
  <c r="AB144" i="11"/>
  <c r="AD143" i="11"/>
  <c r="AC143" i="11"/>
  <c r="AB143" i="11"/>
  <c r="AD142" i="11"/>
  <c r="AC142" i="11"/>
  <c r="AB142" i="11"/>
  <c r="AD141" i="11"/>
  <c r="AC141" i="11"/>
  <c r="AB141" i="11"/>
  <c r="AD140" i="11"/>
  <c r="AC140" i="11"/>
  <c r="AB140" i="11"/>
  <c r="AD139" i="11"/>
  <c r="AC139" i="11"/>
  <c r="AB139" i="11"/>
  <c r="AD138" i="11"/>
  <c r="AC138" i="11"/>
  <c r="AB138" i="11"/>
  <c r="AD137" i="11"/>
  <c r="AC137" i="11"/>
  <c r="AB137" i="11"/>
  <c r="AD136" i="11"/>
  <c r="AC136" i="11"/>
  <c r="AB136" i="11"/>
  <c r="AD135" i="11"/>
  <c r="AC135" i="11"/>
  <c r="AB135" i="11"/>
  <c r="AD134" i="11"/>
  <c r="AC134" i="11"/>
  <c r="AB134" i="11"/>
  <c r="AD133" i="11"/>
  <c r="AC133" i="11"/>
  <c r="AB133" i="11"/>
  <c r="AD132" i="11"/>
  <c r="AC132" i="11"/>
  <c r="AB132" i="11"/>
  <c r="AD131" i="11"/>
  <c r="AC131" i="11"/>
  <c r="AB131" i="11"/>
  <c r="AD130" i="11"/>
  <c r="AC130" i="11"/>
  <c r="AB130" i="11"/>
  <c r="AD129" i="11"/>
  <c r="AC129" i="11"/>
  <c r="AB129" i="11"/>
  <c r="AD128" i="11"/>
  <c r="AC128" i="11"/>
  <c r="AB128" i="11"/>
  <c r="AD127" i="11"/>
  <c r="AC127" i="11"/>
  <c r="AB127" i="11"/>
  <c r="AD126" i="11"/>
  <c r="AC126" i="11"/>
  <c r="AB126" i="11"/>
  <c r="AD125" i="11"/>
  <c r="AC125" i="11"/>
  <c r="AB125" i="11"/>
  <c r="AD124" i="11"/>
  <c r="AC124" i="11"/>
  <c r="AB124" i="11"/>
  <c r="AD123" i="11"/>
  <c r="AC123" i="11"/>
  <c r="AB123" i="11"/>
  <c r="AD122" i="11"/>
  <c r="AC122" i="11"/>
  <c r="AB122" i="11"/>
  <c r="AD121" i="11"/>
  <c r="AC121" i="11"/>
  <c r="AB121" i="11"/>
  <c r="AD120" i="11"/>
  <c r="AC120" i="11"/>
  <c r="AB120" i="11"/>
  <c r="AD119" i="11"/>
  <c r="AC119" i="11"/>
  <c r="AB119" i="11"/>
  <c r="AD118" i="11"/>
  <c r="AC118" i="11"/>
  <c r="AB118" i="11"/>
  <c r="AD117" i="11"/>
  <c r="AC117" i="11"/>
  <c r="AB117" i="11"/>
  <c r="AD116" i="11"/>
  <c r="AC116" i="11"/>
  <c r="AB116" i="11"/>
  <c r="AD115" i="11"/>
  <c r="AC115" i="11"/>
  <c r="AB115" i="11"/>
  <c r="AD114" i="11"/>
  <c r="AC114" i="11"/>
  <c r="AB114" i="11"/>
  <c r="AD113" i="11"/>
  <c r="AC113" i="11"/>
  <c r="AB113" i="11"/>
  <c r="AD112" i="11"/>
  <c r="AC112" i="11"/>
  <c r="AB112" i="11"/>
  <c r="AD111" i="11"/>
  <c r="AC111" i="11"/>
  <c r="AB111" i="11"/>
  <c r="AD110" i="11"/>
  <c r="AC110" i="11"/>
  <c r="AB110" i="11"/>
  <c r="AD109" i="11"/>
  <c r="AC109" i="11"/>
  <c r="AB109" i="11"/>
  <c r="AD108" i="11"/>
  <c r="AC108" i="11"/>
  <c r="AB108" i="11"/>
  <c r="AD107" i="11"/>
  <c r="AC107" i="11"/>
  <c r="AB107" i="11"/>
  <c r="AD106" i="11"/>
  <c r="AC106" i="11"/>
  <c r="AB106" i="11"/>
  <c r="AD105" i="11"/>
  <c r="AC105" i="11"/>
  <c r="AB105" i="11"/>
  <c r="AD104" i="11"/>
  <c r="AC104" i="11"/>
  <c r="AB104" i="11"/>
  <c r="AD103" i="11"/>
  <c r="AC103" i="11"/>
  <c r="AB103" i="11"/>
  <c r="AD102" i="11"/>
  <c r="AC102" i="11"/>
  <c r="AB102" i="11"/>
  <c r="AD101" i="11"/>
  <c r="AC101" i="11"/>
  <c r="AB101" i="11"/>
  <c r="AD100" i="11"/>
  <c r="AC100" i="11"/>
  <c r="AB100" i="11"/>
  <c r="AD99" i="11"/>
  <c r="AC99" i="11"/>
  <c r="AB99" i="11"/>
  <c r="AD98" i="11"/>
  <c r="AC98" i="11"/>
  <c r="AB98" i="11"/>
  <c r="AD97" i="11"/>
  <c r="AC97" i="11"/>
  <c r="AB97" i="11"/>
  <c r="AD96" i="11"/>
  <c r="AC96" i="11"/>
  <c r="AB96" i="11"/>
  <c r="AD95" i="11"/>
  <c r="AC95" i="11"/>
  <c r="AB95" i="11"/>
  <c r="AD94" i="11"/>
  <c r="AC94" i="11"/>
  <c r="AB94" i="11"/>
  <c r="AD93" i="11"/>
  <c r="AC93" i="11"/>
  <c r="AB93" i="11"/>
  <c r="AD92" i="11"/>
  <c r="AC92" i="11"/>
  <c r="AB92" i="11"/>
  <c r="AD91" i="11"/>
  <c r="AC91" i="11"/>
  <c r="AB91" i="11"/>
  <c r="AD90" i="11"/>
  <c r="AC90" i="11"/>
  <c r="AB90" i="11"/>
  <c r="AD89" i="11"/>
  <c r="AC89" i="11"/>
  <c r="AB89" i="11"/>
  <c r="AD88" i="11"/>
  <c r="AC88" i="11"/>
  <c r="AB88" i="11"/>
  <c r="AD87" i="11"/>
  <c r="AC87" i="11"/>
  <c r="AB87" i="11"/>
  <c r="AD86" i="11"/>
  <c r="AC86" i="11"/>
  <c r="AB86" i="11"/>
  <c r="AD85" i="11"/>
  <c r="AC85" i="11"/>
  <c r="AB85" i="11"/>
  <c r="AD84" i="11"/>
  <c r="AC84" i="11"/>
  <c r="AB84" i="11"/>
  <c r="AD83" i="11"/>
  <c r="AC83" i="11"/>
  <c r="AB83" i="11"/>
  <c r="AD82" i="11"/>
  <c r="AC82" i="11"/>
  <c r="AB82" i="11"/>
  <c r="AD81" i="11"/>
  <c r="AC81" i="11"/>
  <c r="AB81" i="11"/>
  <c r="AD80" i="11"/>
  <c r="AC80" i="11"/>
  <c r="AB80" i="11"/>
  <c r="AD79" i="11"/>
  <c r="AC79" i="11"/>
  <c r="AB79" i="11"/>
  <c r="AD78" i="11"/>
  <c r="AC78" i="11"/>
  <c r="AB78" i="11"/>
  <c r="AD77" i="11"/>
  <c r="AC77" i="11"/>
  <c r="AB77" i="11"/>
  <c r="AD76" i="11"/>
  <c r="AC76" i="11"/>
  <c r="AB76" i="11"/>
  <c r="AD75" i="11"/>
  <c r="AC75" i="11"/>
  <c r="AB75" i="11"/>
  <c r="AD74" i="11"/>
  <c r="AC74" i="11"/>
  <c r="AB74" i="11"/>
  <c r="AD73" i="11"/>
  <c r="AC73" i="11"/>
  <c r="AB73" i="11"/>
  <c r="AD72" i="11"/>
  <c r="AC72" i="11"/>
  <c r="AB72" i="11"/>
  <c r="AD71" i="11"/>
  <c r="AC71" i="11"/>
  <c r="AB71" i="11"/>
  <c r="AD70" i="11"/>
  <c r="AC70" i="11"/>
  <c r="AB70" i="11"/>
  <c r="AD69" i="11"/>
  <c r="AC69" i="11"/>
  <c r="AB69" i="11"/>
  <c r="AD68" i="11"/>
  <c r="AC68" i="11"/>
  <c r="AB68" i="11"/>
  <c r="AD67" i="11"/>
  <c r="AC67" i="11"/>
  <c r="AB67" i="11"/>
  <c r="AD66" i="11"/>
  <c r="AC66" i="11"/>
  <c r="AB66" i="11"/>
  <c r="AD65" i="11"/>
  <c r="AC65" i="11"/>
  <c r="AB65" i="11"/>
  <c r="AD64" i="11"/>
  <c r="AC64" i="11"/>
  <c r="AB64" i="11"/>
  <c r="AD63" i="11"/>
  <c r="AC63" i="11"/>
  <c r="AB63" i="11"/>
  <c r="AD62" i="11"/>
  <c r="AC62" i="11"/>
  <c r="AB62" i="11"/>
  <c r="AD61" i="11"/>
  <c r="AC61" i="11"/>
  <c r="AB61" i="11"/>
  <c r="AD60" i="11"/>
  <c r="AC60" i="11"/>
  <c r="AB60" i="11"/>
  <c r="AD59" i="11"/>
  <c r="AC59" i="11"/>
  <c r="AB59" i="11"/>
  <c r="AD58" i="11"/>
  <c r="AC58" i="11"/>
  <c r="AB58" i="11"/>
  <c r="AD57" i="11"/>
  <c r="AC57" i="11"/>
  <c r="AB57" i="11"/>
  <c r="AD56" i="11"/>
  <c r="AC56" i="11"/>
  <c r="AB56" i="11"/>
  <c r="AD55" i="11"/>
  <c r="AC55" i="11"/>
  <c r="AB55" i="11"/>
  <c r="AD54" i="11"/>
  <c r="AC54" i="11"/>
  <c r="AB54" i="11"/>
  <c r="AD53" i="11"/>
  <c r="AC53" i="11"/>
  <c r="AB53" i="11"/>
  <c r="AD52" i="11"/>
  <c r="AC52" i="11"/>
  <c r="AB52" i="11"/>
  <c r="AD51" i="11"/>
  <c r="AC51" i="11"/>
  <c r="AB51" i="11"/>
  <c r="AD50" i="11"/>
  <c r="AC50" i="11"/>
  <c r="AB50" i="11"/>
  <c r="AD49" i="11"/>
  <c r="AC49" i="11"/>
  <c r="AB49" i="11"/>
  <c r="AD48" i="11"/>
  <c r="AC48" i="11"/>
  <c r="AB48" i="11"/>
  <c r="AD47" i="11"/>
  <c r="AC47" i="11"/>
  <c r="AB47" i="11"/>
  <c r="AD46" i="11"/>
  <c r="AC46" i="11"/>
  <c r="AB46" i="11"/>
  <c r="AD45" i="11"/>
  <c r="AC45" i="11"/>
  <c r="AB45" i="11"/>
  <c r="AD44" i="11"/>
  <c r="AC44" i="11"/>
  <c r="AB44" i="11"/>
  <c r="AD43" i="11"/>
  <c r="AC43" i="11"/>
  <c r="AB43" i="11"/>
  <c r="AD42" i="11"/>
  <c r="AC42" i="11"/>
  <c r="AB42" i="11"/>
  <c r="AD41" i="11"/>
  <c r="AC41" i="11"/>
  <c r="AB41" i="11"/>
  <c r="AD40" i="11"/>
  <c r="AC40" i="11"/>
  <c r="AB40" i="11"/>
  <c r="AD39" i="11"/>
  <c r="AC39" i="11"/>
  <c r="AB39" i="11"/>
  <c r="AD38" i="11"/>
  <c r="AC38" i="11"/>
  <c r="AB38" i="11"/>
  <c r="AD37" i="11"/>
  <c r="AC37" i="11"/>
  <c r="AB37" i="11"/>
  <c r="AD36" i="11"/>
  <c r="AC36" i="11"/>
  <c r="AB36" i="11"/>
  <c r="AD35" i="11"/>
  <c r="AC35" i="11"/>
  <c r="AB35" i="11"/>
  <c r="AD34" i="11"/>
  <c r="AC34" i="11"/>
  <c r="AB34" i="11"/>
  <c r="AD33" i="11"/>
  <c r="AC33" i="11"/>
  <c r="AB33" i="11"/>
  <c r="AD32" i="11"/>
  <c r="AC32" i="11"/>
  <c r="AB32" i="11"/>
  <c r="AD31" i="11"/>
  <c r="AC31" i="11"/>
  <c r="AB31" i="11"/>
  <c r="AD30" i="11"/>
  <c r="AC30" i="11"/>
  <c r="AB30" i="11"/>
  <c r="AD29" i="11"/>
  <c r="AC29" i="11"/>
  <c r="AB29" i="11"/>
  <c r="AD28" i="11"/>
  <c r="AC28" i="11"/>
  <c r="AB28" i="11"/>
  <c r="AD27" i="11"/>
  <c r="AC27" i="11"/>
  <c r="AB27" i="11"/>
  <c r="AD26" i="11"/>
  <c r="AC26" i="11"/>
  <c r="AB26" i="11"/>
  <c r="AD25" i="11"/>
  <c r="AC25" i="11"/>
  <c r="AB25" i="11"/>
  <c r="AD24" i="11"/>
  <c r="AC24" i="11"/>
  <c r="AB24" i="11"/>
  <c r="AD23" i="11"/>
  <c r="AC23" i="11"/>
  <c r="AB23" i="11"/>
  <c r="AD22" i="11"/>
  <c r="AC22" i="11"/>
  <c r="AB22" i="11"/>
  <c r="AD21" i="11"/>
  <c r="AC21" i="11"/>
  <c r="AB21" i="11"/>
  <c r="AD20" i="11"/>
  <c r="AC20" i="11"/>
  <c r="AB20" i="11"/>
  <c r="AD19" i="11"/>
  <c r="AC19" i="11"/>
  <c r="AB19" i="11"/>
  <c r="AD18" i="11"/>
  <c r="AC18" i="11"/>
  <c r="AB18" i="11"/>
  <c r="AD17" i="11"/>
  <c r="AC17" i="11"/>
  <c r="AB17" i="11"/>
  <c r="AD16" i="11"/>
  <c r="AC16" i="11"/>
  <c r="AB16" i="11"/>
  <c r="AD15" i="11"/>
  <c r="AC15" i="11"/>
  <c r="AB15" i="11"/>
  <c r="AD14" i="11"/>
  <c r="AC14" i="11"/>
  <c r="AB14" i="11"/>
  <c r="AD13" i="11"/>
  <c r="AC13" i="11"/>
  <c r="AB13" i="11"/>
  <c r="AD12" i="11"/>
  <c r="AC12" i="11"/>
  <c r="AB12" i="11"/>
  <c r="AD11" i="11"/>
  <c r="AC11" i="11"/>
  <c r="AB11" i="11"/>
  <c r="AD10" i="11"/>
  <c r="AC10" i="11"/>
  <c r="AB10" i="11"/>
  <c r="AD9" i="11"/>
  <c r="AC9" i="11"/>
  <c r="AB9" i="11"/>
  <c r="AD8" i="11"/>
  <c r="AC8" i="11"/>
  <c r="AB8" i="11"/>
  <c r="AD7" i="11"/>
  <c r="AC7" i="11"/>
  <c r="AB7" i="11"/>
  <c r="AD6" i="11"/>
  <c r="AC6" i="11"/>
  <c r="AB6" i="11"/>
  <c r="AD5" i="11"/>
  <c r="AC5" i="11"/>
  <c r="AB5" i="11"/>
  <c r="AD4" i="11"/>
  <c r="AC4" i="11"/>
  <c r="AB4" i="11"/>
  <c r="AD3" i="11"/>
  <c r="AC3" i="11"/>
  <c r="AB3" i="11"/>
  <c r="AD2" i="11"/>
  <c r="AC2" i="11"/>
  <c r="AB2" i="11"/>
  <c r="K42" i="7"/>
  <c r="K40" i="7" l="1"/>
  <c r="L43" i="7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70" i="8"/>
  <c r="E211" i="8"/>
  <c r="E212" i="8"/>
  <c r="E213" i="8"/>
  <c r="E214" i="8"/>
  <c r="E216" i="8"/>
  <c r="E217" i="8"/>
  <c r="E218" i="8"/>
  <c r="E219" i="8"/>
  <c r="E220" i="8"/>
  <c r="E221" i="8"/>
  <c r="E222" i="8"/>
  <c r="E223" i="8"/>
  <c r="E224" i="8"/>
  <c r="E225" i="8"/>
  <c r="E226" i="8"/>
  <c r="E227" i="8"/>
  <c r="E228" i="8"/>
  <c r="E229" i="8"/>
  <c r="E230" i="8"/>
  <c r="E231" i="8"/>
  <c r="E232" i="8"/>
  <c r="E233" i="8"/>
  <c r="E234" i="8"/>
  <c r="E235" i="8"/>
  <c r="E236" i="8"/>
  <c r="E237" i="8"/>
  <c r="E238" i="8"/>
  <c r="E239" i="8"/>
  <c r="E240" i="8"/>
  <c r="E241" i="8"/>
  <c r="E242" i="8"/>
  <c r="E243" i="8"/>
  <c r="E244" i="8"/>
  <c r="E215" i="8"/>
  <c r="E210" i="8"/>
  <c r="E209" i="8"/>
  <c r="E208" i="8"/>
  <c r="E207" i="8"/>
  <c r="E206" i="8"/>
  <c r="E205" i="8"/>
  <c r="E204" i="8"/>
  <c r="E203" i="8"/>
  <c r="E202" i="8"/>
  <c r="E201" i="8"/>
  <c r="E200" i="8"/>
  <c r="E199" i="8"/>
  <c r="E198" i="8"/>
  <c r="E197" i="8"/>
  <c r="E196" i="8"/>
  <c r="E195" i="8"/>
  <c r="E194" i="8"/>
  <c r="E193" i="8"/>
  <c r="E192" i="8"/>
  <c r="E191" i="8"/>
  <c r="E190" i="8"/>
  <c r="E251" i="8"/>
  <c r="E250" i="8"/>
  <c r="E247" i="8"/>
  <c r="E249" i="8"/>
  <c r="E246" i="8"/>
  <c r="E248" i="8"/>
  <c r="E245" i="8"/>
  <c r="E173" i="8"/>
  <c r="E172" i="8"/>
  <c r="E171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87" i="8"/>
  <c r="D86" i="8"/>
  <c r="K57" i="7"/>
  <c r="L108" i="7"/>
  <c r="K108" i="7"/>
  <c r="L107" i="7"/>
  <c r="K107" i="7"/>
  <c r="L106" i="7"/>
  <c r="K106" i="7"/>
  <c r="L105" i="7"/>
  <c r="K105" i="7"/>
  <c r="L104" i="7"/>
  <c r="K104" i="7"/>
  <c r="L103" i="7"/>
  <c r="K103" i="7"/>
  <c r="L102" i="7"/>
  <c r="K102" i="7"/>
  <c r="L101" i="7"/>
  <c r="K101" i="7"/>
  <c r="L100" i="7"/>
  <c r="K100" i="7"/>
  <c r="L99" i="7"/>
  <c r="K99" i="7"/>
  <c r="L98" i="7"/>
  <c r="K98" i="7"/>
  <c r="L97" i="7"/>
  <c r="K97" i="7"/>
  <c r="L96" i="7"/>
  <c r="K96" i="7"/>
  <c r="L95" i="7"/>
  <c r="K95" i="7"/>
  <c r="L94" i="7"/>
  <c r="K94" i="7"/>
  <c r="L93" i="7"/>
  <c r="K93" i="7"/>
  <c r="L92" i="7"/>
  <c r="K92" i="7"/>
  <c r="L91" i="7"/>
  <c r="K91" i="7"/>
  <c r="L90" i="7"/>
  <c r="K90" i="7"/>
  <c r="L89" i="7"/>
  <c r="K89" i="7"/>
  <c r="L88" i="7"/>
  <c r="K88" i="7"/>
  <c r="L87" i="7"/>
  <c r="K87" i="7"/>
  <c r="L86" i="7"/>
  <c r="K86" i="7"/>
  <c r="L85" i="7"/>
  <c r="K85" i="7"/>
  <c r="L84" i="7"/>
  <c r="K84" i="7"/>
  <c r="L83" i="7"/>
  <c r="K83" i="7"/>
  <c r="L82" i="7"/>
  <c r="K82" i="7"/>
  <c r="L81" i="7"/>
  <c r="K81" i="7"/>
  <c r="L80" i="7"/>
  <c r="K80" i="7"/>
  <c r="L79" i="7"/>
  <c r="K79" i="7"/>
  <c r="L78" i="7"/>
  <c r="K78" i="7"/>
  <c r="L77" i="7"/>
  <c r="K77" i="7"/>
  <c r="L76" i="7"/>
  <c r="K76" i="7"/>
  <c r="L75" i="7"/>
  <c r="K75" i="7"/>
  <c r="L74" i="7"/>
  <c r="K74" i="7"/>
  <c r="L73" i="7"/>
  <c r="K73" i="7"/>
  <c r="L72" i="7"/>
  <c r="K72" i="7"/>
  <c r="L71" i="7"/>
  <c r="K71" i="7"/>
  <c r="L70" i="7"/>
  <c r="K70" i="7"/>
  <c r="L69" i="7"/>
  <c r="K69" i="7"/>
  <c r="L68" i="7"/>
  <c r="K68" i="7"/>
  <c r="L67" i="7"/>
  <c r="K67" i="7"/>
  <c r="L66" i="7"/>
  <c r="K66" i="7"/>
  <c r="L65" i="7"/>
  <c r="K65" i="7"/>
  <c r="L64" i="7"/>
  <c r="K64" i="7"/>
  <c r="L63" i="7"/>
  <c r="K63" i="7"/>
  <c r="L62" i="7"/>
  <c r="K62" i="7"/>
  <c r="L61" i="7"/>
  <c r="K61" i="7"/>
  <c r="L60" i="7"/>
  <c r="K60" i="7"/>
  <c r="L59" i="7"/>
  <c r="K59" i="7"/>
  <c r="L58" i="7"/>
  <c r="K58" i="7"/>
  <c r="L57" i="7"/>
  <c r="L56" i="7"/>
  <c r="K56" i="7"/>
  <c r="L55" i="7"/>
  <c r="K55" i="7"/>
  <c r="L54" i="7"/>
  <c r="K54" i="7"/>
  <c r="L53" i="7"/>
  <c r="K53" i="7"/>
  <c r="L52" i="7"/>
  <c r="K52" i="7"/>
  <c r="L51" i="7"/>
  <c r="K51" i="7"/>
  <c r="L50" i="7"/>
  <c r="K50" i="7"/>
  <c r="L49" i="7"/>
  <c r="K49" i="7"/>
  <c r="L48" i="7"/>
  <c r="K48" i="7"/>
  <c r="L47" i="7"/>
  <c r="K47" i="7"/>
  <c r="L46" i="7"/>
  <c r="K46" i="7"/>
  <c r="L45" i="7"/>
  <c r="K45" i="7"/>
  <c r="L44" i="7"/>
  <c r="K44" i="7"/>
  <c r="K43" i="7"/>
  <c r="L42" i="7"/>
  <c r="L41" i="7"/>
  <c r="K41" i="7"/>
  <c r="L40" i="7"/>
  <c r="L39" i="7"/>
  <c r="K39" i="7"/>
  <c r="L38" i="7"/>
  <c r="K38" i="7"/>
  <c r="L37" i="7"/>
  <c r="K37" i="7"/>
  <c r="L36" i="7"/>
  <c r="K36" i="7"/>
  <c r="L35" i="7"/>
  <c r="K35" i="7"/>
  <c r="L34" i="7"/>
  <c r="K34" i="7"/>
  <c r="F85" i="6"/>
  <c r="E85" i="6"/>
  <c r="D85" i="6"/>
  <c r="C85" i="6"/>
  <c r="B85" i="6"/>
  <c r="F84" i="6"/>
  <c r="E84" i="6"/>
  <c r="D84" i="6"/>
  <c r="C84" i="6"/>
  <c r="B84" i="6"/>
  <c r="F83" i="6"/>
  <c r="E83" i="6"/>
  <c r="D83" i="6"/>
  <c r="C83" i="6"/>
  <c r="B83" i="6"/>
  <c r="F82" i="6"/>
  <c r="E82" i="6"/>
  <c r="D82" i="6"/>
  <c r="C82" i="6"/>
  <c r="B82" i="6"/>
  <c r="F81" i="6"/>
  <c r="E81" i="6"/>
  <c r="D81" i="6"/>
  <c r="C81" i="6"/>
  <c r="B81" i="6"/>
  <c r="F80" i="6"/>
  <c r="E80" i="6"/>
  <c r="D80" i="6"/>
  <c r="C80" i="6"/>
  <c r="B80" i="6"/>
  <c r="F79" i="6"/>
  <c r="E79" i="6"/>
  <c r="D79" i="6"/>
  <c r="C79" i="6"/>
  <c r="B79" i="6"/>
  <c r="F78" i="6"/>
  <c r="E78" i="6"/>
  <c r="D78" i="6"/>
  <c r="C78" i="6"/>
  <c r="B78" i="6"/>
  <c r="F77" i="6"/>
  <c r="E77" i="6"/>
  <c r="D77" i="6"/>
  <c r="C77" i="6"/>
  <c r="B77" i="6"/>
  <c r="F76" i="6"/>
  <c r="E76" i="6"/>
  <c r="D76" i="6"/>
  <c r="C76" i="6"/>
  <c r="B76" i="6"/>
  <c r="F75" i="6"/>
  <c r="E75" i="6"/>
  <c r="D75" i="6"/>
  <c r="C75" i="6"/>
  <c r="B75" i="6"/>
  <c r="F74" i="6"/>
  <c r="E74" i="6"/>
  <c r="D74" i="6"/>
  <c r="C74" i="6"/>
  <c r="B74" i="6"/>
  <c r="F73" i="6"/>
  <c r="E73" i="6"/>
  <c r="D73" i="6"/>
  <c r="C73" i="6"/>
  <c r="B73" i="6"/>
  <c r="F72" i="6"/>
  <c r="E72" i="6"/>
  <c r="D72" i="6"/>
  <c r="C72" i="6"/>
  <c r="B72" i="6"/>
  <c r="F71" i="6"/>
  <c r="E71" i="6"/>
  <c r="D71" i="6"/>
  <c r="C71" i="6"/>
  <c r="B71" i="6"/>
  <c r="F70" i="6"/>
  <c r="E70" i="6"/>
  <c r="D70" i="6"/>
  <c r="C70" i="6"/>
  <c r="B70" i="6"/>
  <c r="F69" i="6"/>
  <c r="E69" i="6"/>
  <c r="D69" i="6"/>
  <c r="C69" i="6"/>
  <c r="B69" i="6"/>
  <c r="F68" i="6"/>
  <c r="E68" i="6"/>
  <c r="D68" i="6"/>
  <c r="C68" i="6"/>
  <c r="B68" i="6"/>
  <c r="F67" i="6"/>
  <c r="E67" i="6"/>
  <c r="D67" i="6"/>
  <c r="C67" i="6"/>
  <c r="B67" i="6"/>
  <c r="F66" i="6"/>
  <c r="E66" i="6"/>
  <c r="D66" i="6"/>
  <c r="C66" i="6"/>
  <c r="B66" i="6"/>
  <c r="F65" i="6"/>
  <c r="E65" i="6"/>
  <c r="D65" i="6"/>
  <c r="C65" i="6"/>
  <c r="B65" i="6"/>
  <c r="F64" i="6"/>
  <c r="E64" i="6"/>
  <c r="D64" i="6"/>
  <c r="C64" i="6"/>
  <c r="B64" i="6"/>
  <c r="F63" i="6"/>
  <c r="E63" i="6"/>
  <c r="D63" i="6"/>
  <c r="C63" i="6"/>
  <c r="B63" i="6"/>
  <c r="F62" i="6"/>
  <c r="E62" i="6"/>
  <c r="D62" i="6"/>
  <c r="C62" i="6"/>
  <c r="B62" i="6"/>
  <c r="F61" i="6"/>
  <c r="E61" i="6"/>
  <c r="D61" i="6"/>
  <c r="C61" i="6"/>
  <c r="B61" i="6"/>
  <c r="F60" i="6"/>
  <c r="E60" i="6"/>
  <c r="D60" i="6"/>
  <c r="C60" i="6"/>
  <c r="B60" i="6"/>
  <c r="F59" i="6"/>
  <c r="E59" i="6"/>
  <c r="D59" i="6"/>
  <c r="C59" i="6"/>
  <c r="B59" i="6"/>
  <c r="F58" i="6"/>
  <c r="E58" i="6"/>
  <c r="D58" i="6"/>
  <c r="C58" i="6"/>
  <c r="B58" i="6"/>
  <c r="F57" i="6"/>
  <c r="E57" i="6"/>
  <c r="D57" i="6"/>
  <c r="C57" i="6"/>
  <c r="B57" i="6"/>
  <c r="F56" i="6"/>
  <c r="E56" i="6"/>
  <c r="D56" i="6"/>
  <c r="C56" i="6"/>
  <c r="B56" i="6"/>
  <c r="F55" i="6"/>
  <c r="E55" i="6"/>
  <c r="D55" i="6"/>
  <c r="C55" i="6"/>
  <c r="B55" i="6"/>
  <c r="F54" i="6"/>
  <c r="E54" i="6"/>
  <c r="D54" i="6"/>
  <c r="C54" i="6"/>
  <c r="B54" i="6"/>
  <c r="F53" i="6"/>
  <c r="E53" i="6"/>
  <c r="D53" i="6"/>
  <c r="C53" i="6"/>
  <c r="B53" i="6"/>
  <c r="F52" i="6"/>
  <c r="E52" i="6"/>
  <c r="D52" i="6"/>
  <c r="C52" i="6"/>
  <c r="B52" i="6"/>
  <c r="F51" i="6"/>
  <c r="E51" i="6"/>
  <c r="D51" i="6"/>
  <c r="C51" i="6"/>
  <c r="B51" i="6"/>
  <c r="F50" i="6"/>
  <c r="E50" i="6"/>
  <c r="D50" i="6"/>
  <c r="C50" i="6"/>
  <c r="B50" i="6"/>
  <c r="F49" i="6"/>
  <c r="E49" i="6"/>
  <c r="D49" i="6"/>
  <c r="C49" i="6"/>
  <c r="B49" i="6"/>
  <c r="F48" i="6"/>
  <c r="E48" i="6"/>
  <c r="D48" i="6"/>
  <c r="C48" i="6"/>
  <c r="B48" i="6"/>
  <c r="F47" i="6"/>
  <c r="E47" i="6"/>
  <c r="D47" i="6"/>
  <c r="C47" i="6"/>
  <c r="B47" i="6"/>
  <c r="F46" i="6"/>
  <c r="E46" i="6"/>
  <c r="D46" i="6"/>
  <c r="C46" i="6"/>
  <c r="B46" i="6"/>
  <c r="F45" i="6"/>
  <c r="E45" i="6"/>
  <c r="D45" i="6"/>
  <c r="C45" i="6"/>
  <c r="B45" i="6"/>
  <c r="F44" i="6"/>
  <c r="E44" i="6"/>
  <c r="D44" i="6"/>
  <c r="C44" i="6"/>
  <c r="B44" i="6"/>
  <c r="F43" i="6"/>
  <c r="E43" i="6"/>
  <c r="D43" i="6"/>
  <c r="C43" i="6"/>
  <c r="B43" i="6"/>
  <c r="F42" i="6"/>
  <c r="E42" i="6"/>
  <c r="D42" i="6"/>
  <c r="C42" i="6"/>
  <c r="B42" i="6"/>
  <c r="F41" i="6"/>
  <c r="E41" i="6"/>
  <c r="D41" i="6"/>
  <c r="C41" i="6"/>
  <c r="B41" i="6"/>
  <c r="F40" i="6"/>
  <c r="E40" i="6"/>
  <c r="D40" i="6"/>
  <c r="C40" i="6"/>
  <c r="B40" i="6"/>
  <c r="F39" i="6"/>
  <c r="E39" i="6"/>
  <c r="D39" i="6"/>
  <c r="C39" i="6"/>
  <c r="B39" i="6"/>
  <c r="F38" i="6"/>
  <c r="E38" i="6"/>
  <c r="D38" i="6"/>
  <c r="C38" i="6"/>
  <c r="B38" i="6"/>
  <c r="F37" i="6"/>
  <c r="E37" i="6"/>
  <c r="D37" i="6"/>
  <c r="C37" i="6"/>
  <c r="B37" i="6"/>
  <c r="F36" i="6"/>
  <c r="E36" i="6"/>
  <c r="D36" i="6"/>
  <c r="C36" i="6"/>
  <c r="B36" i="6"/>
  <c r="F35" i="6"/>
  <c r="E35" i="6"/>
  <c r="D35" i="6"/>
  <c r="C35" i="6"/>
  <c r="B35" i="6"/>
  <c r="F34" i="6"/>
  <c r="E34" i="6"/>
  <c r="D34" i="6"/>
  <c r="C34" i="6"/>
  <c r="B34" i="6"/>
  <c r="F33" i="6"/>
  <c r="E33" i="6"/>
  <c r="D33" i="6"/>
  <c r="C33" i="6"/>
  <c r="B33" i="6"/>
  <c r="F32" i="6"/>
  <c r="E32" i="6"/>
  <c r="D32" i="6"/>
  <c r="C32" i="6"/>
  <c r="B32" i="6"/>
  <c r="F31" i="6"/>
  <c r="E31" i="6"/>
  <c r="D31" i="6"/>
  <c r="C31" i="6"/>
  <c r="B31" i="6"/>
  <c r="F30" i="6"/>
  <c r="E30" i="6"/>
  <c r="D30" i="6"/>
  <c r="C30" i="6"/>
  <c r="B30" i="6"/>
  <c r="F29" i="6"/>
  <c r="E29" i="6"/>
  <c r="D29" i="6"/>
  <c r="C29" i="6"/>
  <c r="B29" i="6"/>
  <c r="F28" i="6"/>
  <c r="E28" i="6"/>
  <c r="D28" i="6"/>
  <c r="C28" i="6"/>
  <c r="B28" i="6"/>
  <c r="F27" i="6"/>
  <c r="D27" i="6"/>
  <c r="C27" i="6"/>
  <c r="B27" i="6"/>
  <c r="F26" i="6"/>
  <c r="E26" i="6"/>
  <c r="D26" i="6"/>
  <c r="C26" i="6"/>
  <c r="B26" i="6"/>
  <c r="F25" i="6"/>
  <c r="E25" i="6"/>
  <c r="D25" i="6"/>
  <c r="C25" i="6"/>
  <c r="B25" i="6"/>
  <c r="F24" i="6"/>
  <c r="E24" i="6"/>
  <c r="D24" i="6"/>
  <c r="C24" i="6"/>
  <c r="B24" i="6"/>
  <c r="F23" i="6"/>
  <c r="E23" i="6"/>
  <c r="D23" i="6"/>
  <c r="C23" i="6"/>
  <c r="B23" i="6"/>
  <c r="F22" i="6"/>
  <c r="E22" i="6"/>
  <c r="D22" i="6"/>
  <c r="C22" i="6"/>
  <c r="B22" i="6"/>
  <c r="F21" i="6"/>
  <c r="E21" i="6"/>
  <c r="D21" i="6"/>
  <c r="C21" i="6"/>
  <c r="B21" i="6"/>
  <c r="F20" i="6"/>
  <c r="E20" i="6"/>
  <c r="D20" i="6"/>
  <c r="C20" i="6"/>
  <c r="B20" i="6"/>
  <c r="F19" i="6"/>
  <c r="E19" i="6"/>
  <c r="D19" i="6"/>
  <c r="C19" i="6"/>
  <c r="B19" i="6"/>
  <c r="F18" i="6"/>
  <c r="E18" i="6"/>
  <c r="D18" i="6"/>
  <c r="C18" i="6"/>
  <c r="B18" i="6"/>
  <c r="F17" i="6"/>
  <c r="E17" i="6"/>
  <c r="D17" i="6"/>
  <c r="C17" i="6"/>
  <c r="B17" i="6"/>
  <c r="F16" i="6"/>
  <c r="E16" i="6"/>
  <c r="D16" i="6"/>
  <c r="C16" i="6"/>
  <c r="B16" i="6"/>
  <c r="F15" i="6"/>
  <c r="E15" i="6"/>
  <c r="D15" i="6"/>
  <c r="C15" i="6"/>
  <c r="B15" i="6"/>
  <c r="F14" i="6"/>
  <c r="E14" i="6"/>
  <c r="D14" i="6"/>
  <c r="C14" i="6"/>
  <c r="B14" i="6"/>
  <c r="F13" i="6"/>
  <c r="E13" i="6"/>
  <c r="D13" i="6"/>
  <c r="C13" i="6"/>
  <c r="B13" i="6"/>
  <c r="F12" i="6"/>
  <c r="E12" i="6"/>
  <c r="D12" i="6"/>
  <c r="C12" i="6"/>
  <c r="B12" i="6"/>
  <c r="F11" i="6"/>
  <c r="E11" i="6"/>
  <c r="D11" i="6"/>
  <c r="C11" i="6"/>
  <c r="B11" i="6"/>
  <c r="K9" i="4"/>
  <c r="M13" i="4"/>
  <c r="O9" i="4" a="1"/>
  <c r="O9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tc={43CA6214-79BF-445A-8E51-ADB4C4451316}</author>
    <author>tc={5F824FEE-92A8-4311-AD4D-6463FDCAB0B3}</author>
    <author>tc={BFA517A0-1098-47E3-A64D-625E7F91DE48}</author>
    <author>tc={76A29819-24B0-42D4-A791-7B1A1A5897BD}</author>
    <author>tc={437AC8BF-4154-4FDE-AAB7-DBD761D110BD}</author>
    <author>tc={C874E8DA-02AE-4584-B820-231552939272}</author>
    <author>tc={1B295185-C578-4FB5-AF95-6DF565719C47}</author>
    <author>tc={F029D1AF-5D08-4181-A48B-D2758603E874}</author>
    <author>tc={869189A4-1BC8-4ADE-9967-B9B57A9055CD}</author>
    <author>tc={F5A2F380-BDD0-4996-B24D-5B105FDFCB7C}</author>
    <author>tc={43D54063-5160-44C3-9F2D-E3FCDF29AF32}</author>
    <author>tc={5796CE8D-8347-46FD-9E8E-A6D1822B1838}</author>
    <author>tc={8FB1704A-073C-454C-BE65-0373E63CEBBE}</author>
    <author>tc={D09795A1-F801-4A82-BE7D-C98174453D43}</author>
    <author>tc={5D4F370E-A3D9-44B2-8BFE-343584EE5113}</author>
    <author>tc={AC2003C6-077E-44C8-9C05-7A5C3CE9FAA4}</author>
    <author>tc={9052BB4E-9FC5-451A-865A-768D17513346}</author>
    <author>tc={093A357C-F449-4537-BA06-897C39299E1D}</author>
    <author>tc={613DE458-99CE-45A4-8B93-71AEAB9800F6}</author>
    <author>tc={D59EF745-610D-4B01-B989-7770D3CC3D54}</author>
    <author>tc={2B4B1216-682B-44CF-9A8F-92BDCDEC85C9}</author>
    <author>tc={B9FB59D4-4970-470B-8C24-B76AD3CA5185}</author>
    <author>tc={5400DBD4-746E-4A9C-88B7-68BC8E6F0B27}</author>
    <author>tc={B61340F9-C7FC-4569-9974-B1F5ACA9A694}</author>
  </authors>
  <commentList>
    <comment ref="C14" authorId="0" shapeId="0" xr:uid="{43CA6214-79BF-445A-8E51-ADB4C4451316}">
      <text>
        <t>[Threaded comment]
Your version of Excel allows you to read this threaded comment; however, any edits to it will get removed if the file is opened in a newer version of Excel. Learn more: https://go.microsoft.com/fwlink/?linkid=870924
Comment:
    Không có thông tin trên hóa đơn</t>
      </text>
    </comment>
    <comment ref="C49" authorId="1" shapeId="0" xr:uid="{5F824FEE-92A8-4311-AD4D-6463FDCAB0B3}">
      <text>
        <t>[Threaded comment]
Your version of Excel allows you to read this threaded comment; however, any edits to it will get removed if the file is opened in a newer version of Excel. Learn more: https://go.microsoft.com/fwlink/?linkid=870924
Comment:
    Sang tên từ Cao Su Bình Dương qua</t>
      </text>
    </comment>
    <comment ref="C50" authorId="2" shapeId="0" xr:uid="{BFA517A0-1098-47E3-A64D-625E7F91DE48}">
      <text>
        <t>[Threaded comment]
Your version of Excel allows you to read this threaded comment; however, any edits to it will get removed if the file is opened in a newer version of Excel. Learn more: https://go.microsoft.com/fwlink/?linkid=870924
Comment:
    Sang tên từ Huỳnh Kim Thảo qua</t>
      </text>
    </comment>
    <comment ref="C51" authorId="3" shapeId="0" xr:uid="{76A29819-24B0-42D4-A791-7B1A1A5897BD}">
      <text>
        <t>[Threaded comment]
Your version of Excel allows you to read this threaded comment; however, any edits to it will get removed if the file is opened in a newer version of Excel. Learn more: https://go.microsoft.com/fwlink/?linkid=870924
Comment:
    Sang tên từ Cao Su Bình Dương qua</t>
      </text>
    </comment>
    <comment ref="C52" authorId="4" shapeId="0" xr:uid="{437AC8BF-4154-4FDE-AAB7-DBD761D110BD}">
      <text>
        <t>[Threaded comment]
Your version of Excel allows you to read this threaded comment; however, any edits to it will get removed if the file is opened in a newer version of Excel. Learn more: https://go.microsoft.com/fwlink/?linkid=870924
Comment:
    Sang tên từ Cao Su Bình Dương qua</t>
      </text>
    </comment>
    <comment ref="C53" authorId="5" shapeId="0" xr:uid="{C874E8DA-02AE-4584-B820-231552939272}">
      <text>
        <t>[Threaded comment]
Your version of Excel allows you to read this threaded comment; however, any edits to it will get removed if the file is opened in a newer version of Excel. Learn more: https://go.microsoft.com/fwlink/?linkid=870924
Comment:
    Sang tên từ Cao Su Bình Dương qua</t>
      </text>
    </comment>
    <comment ref="C54" authorId="6" shapeId="0" xr:uid="{1B295185-C578-4FB5-AF95-6DF565719C47}">
      <text>
        <t>[Threaded comment]
Your version of Excel allows you to read this threaded comment; however, any edits to it will get removed if the file is opened in a newer version of Excel. Learn more: https://go.microsoft.com/fwlink/?linkid=870924
Comment:
    Sang tên từ Cao Su Bình Dương qua</t>
      </text>
    </comment>
    <comment ref="C55" authorId="7" shapeId="0" xr:uid="{F029D1AF-5D08-4181-A48B-D2758603E874}">
      <text>
        <t>[Threaded comment]
Your version of Excel allows you to read this threaded comment; however, any edits to it will get removed if the file is opened in a newer version of Excel. Learn more: https://go.microsoft.com/fwlink/?linkid=870924
Comment:
    Sang tên từ Cao Su Bình Dương qua</t>
      </text>
    </comment>
    <comment ref="C56" authorId="8" shapeId="0" xr:uid="{869189A4-1BC8-4ADE-9967-B9B57A9055CD}">
      <text>
        <t>[Threaded comment]
Your version of Excel allows you to read this threaded comment; however, any edits to it will get removed if the file is opened in a newer version of Excel. Learn more: https://go.microsoft.com/fwlink/?linkid=870924
Comment:
    Sang tên từ Cao Su Bình Dương qua</t>
      </text>
    </comment>
    <comment ref="C57" authorId="9" shapeId="0" xr:uid="{F5A2F380-BDD0-4996-B24D-5B105FDFCB7C}">
      <text>
        <t>[Threaded comment]
Your version of Excel allows you to read this threaded comment; however, any edits to it will get removed if the file is opened in a newer version of Excel. Learn more: https://go.microsoft.com/fwlink/?linkid=870924
Comment:
    Sang tên từ Cao Su Bình Dương qua</t>
      </text>
    </comment>
    <comment ref="C58" authorId="10" shapeId="0" xr:uid="{43D54063-5160-44C3-9F2D-E3FCDF29AF32}">
      <text>
        <t>[Threaded comment]
Your version of Excel allows you to read this threaded comment; however, any edits to it will get removed if the file is opened in a newer version of Excel. Learn more: https://go.microsoft.com/fwlink/?linkid=870924
Comment:
    Sang tên từ Cao Su Bình Dương qua</t>
      </text>
    </comment>
    <comment ref="C59" authorId="11" shapeId="0" xr:uid="{5796CE8D-8347-46FD-9E8E-A6D1822B1838}">
      <text>
        <t>[Threaded comment]
Your version of Excel allows you to read this threaded comment; however, any edits to it will get removed if the file is opened in a newer version of Excel. Learn more: https://go.microsoft.com/fwlink/?linkid=870924
Comment:
    Sang tên từ Cao Su Bình Dương qua</t>
      </text>
    </comment>
    <comment ref="C60" authorId="12" shapeId="0" xr:uid="{8FB1704A-073C-454C-BE65-0373E63CEBBE}">
      <text>
        <t>[Threaded comment]
Your version of Excel allows you to read this threaded comment; however, any edits to it will get removed if the file is opened in a newer version of Excel. Learn more: https://go.microsoft.com/fwlink/?linkid=870924
Comment:
    Sang tên từ Cao Su Bình Dương qua</t>
      </text>
    </comment>
    <comment ref="C61" authorId="13" shapeId="0" xr:uid="{D09795A1-F801-4A82-BE7D-C98174453D43}">
      <text>
        <t>[Threaded comment]
Your version of Excel allows you to read this threaded comment; however, any edits to it will get removed if the file is opened in a newer version of Excel. Learn more: https://go.microsoft.com/fwlink/?linkid=870924
Comment:
    Sang tên từ Cao Su Bình Dương qua</t>
      </text>
    </comment>
    <comment ref="C62" authorId="14" shapeId="0" xr:uid="{5D4F370E-A3D9-44B2-8BFE-343584EE5113}">
      <text>
        <t>[Threaded comment]
Your version of Excel allows you to read this threaded comment; however, any edits to it will get removed if the file is opened in a newer version of Excel. Learn more: https://go.microsoft.com/fwlink/?linkid=870924
Comment:
    Sang tên từ Cao Su Bình Dương qua</t>
      </text>
    </comment>
    <comment ref="C63" authorId="15" shapeId="0" xr:uid="{AC2003C6-077E-44C8-9C05-7A5C3CE9FAA4}">
      <text>
        <t>[Threaded comment]
Your version of Excel allows you to read this threaded comment; however, any edits to it will get removed if the file is opened in a newer version of Excel. Learn more: https://go.microsoft.com/fwlink/?linkid=870924
Comment:
    Sang tên từ Cao Su Bình Dương qua</t>
      </text>
    </comment>
    <comment ref="C64" authorId="16" shapeId="0" xr:uid="{9052BB4E-9FC5-451A-865A-768D17513346}">
      <text>
        <t>[Threaded comment]
Your version of Excel allows you to read this threaded comment; however, any edits to it will get removed if the file is opened in a newer version of Excel. Learn more: https://go.microsoft.com/fwlink/?linkid=870924
Comment:
    Sang tên từ Cao Su Bình Dương qua</t>
      </text>
    </comment>
    <comment ref="C65" authorId="17" shapeId="0" xr:uid="{093A357C-F449-4537-BA06-897C39299E1D}">
      <text>
        <t>[Threaded comment]
Your version of Excel allows you to read this threaded comment; however, any edits to it will get removed if the file is opened in a newer version of Excel. Learn more: https://go.microsoft.com/fwlink/?linkid=870924
Comment:
    Sang tên từ Cao Su Bình Dương qua</t>
      </text>
    </comment>
    <comment ref="C66" authorId="18" shapeId="0" xr:uid="{613DE458-99CE-45A4-8B93-71AEAB9800F6}">
      <text>
        <t>[Threaded comment]
Your version of Excel allows you to read this threaded comment; however, any edits to it will get removed if the file is opened in a newer version of Excel. Learn more: https://go.microsoft.com/fwlink/?linkid=870924
Comment:
    Sang tên từ Cao Su Bình Dương qua</t>
      </text>
    </comment>
    <comment ref="C67" authorId="19" shapeId="0" xr:uid="{D59EF745-610D-4B01-B989-7770D3CC3D54}">
      <text>
        <t>[Threaded comment]
Your version of Excel allows you to read this threaded comment; however, any edits to it will get removed if the file is opened in a newer version of Excel. Learn more: https://go.microsoft.com/fwlink/?linkid=870924
Comment:
    Sang tên từ Cao Su Bình Dương qua</t>
      </text>
    </comment>
    <comment ref="C68" authorId="20" shapeId="0" xr:uid="{2B4B1216-682B-44CF-9A8F-92BDCDEC85C9}">
      <text>
        <t>[Threaded comment]
Your version of Excel allows you to read this threaded comment; however, any edits to it will get removed if the file is opened in a newer version of Excel. Learn more: https://go.microsoft.com/fwlink/?linkid=870924
Comment:
    Sang tên từ Cao Su Bình Dương qua</t>
      </text>
    </comment>
    <comment ref="C69" authorId="21" shapeId="0" xr:uid="{B9FB59D4-4970-470B-8C24-B76AD3CA5185}">
      <text>
        <t>[Threaded comment]
Your version of Excel allows you to read this threaded comment; however, any edits to it will get removed if the file is opened in a newer version of Excel. Learn more: https://go.microsoft.com/fwlink/?linkid=870924
Comment:
    Sang tên từ Cao Su Bình Dương qua</t>
      </text>
    </comment>
    <comment ref="C70" authorId="22" shapeId="0" xr:uid="{5400DBD4-746E-4A9C-88B7-68BC8E6F0B27}">
      <text>
        <t>[Threaded comment]
Your version of Excel allows you to read this threaded comment; however, any edits to it will get removed if the file is opened in a newer version of Excel. Learn more: https://go.microsoft.com/fwlink/?linkid=870924
Comment:
    Sang tên từ Cao Su Bình Dương qua</t>
      </text>
    </comment>
    <comment ref="D241" authorId="23" shapeId="0" xr:uid="{B61340F9-C7FC-4569-9974-B1F5ACA9A694}">
      <text>
        <t>[Threaded comment]
Your version of Excel allows you to read this threaded comment; however, any edits to it will get removed if the file is opened in a newer version of Excel. Learn more: https://go.microsoft.com/fwlink/?linkid=870924
Comment:
    Không đăng ký mã là sđt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tc={88F0C762-9B04-4809-89E4-D18A4E176A5C}</author>
    <author>tc={DE112376-968C-4B22-9207-7A8BA72D1823}</author>
    <author>tc={5D051038-8EEE-49BD-A8AA-7D6FB77592C5}</author>
  </authors>
  <commentList>
    <comment ref="H16" authorId="0" shapeId="0" xr:uid="{88F0C762-9B04-4809-89E4-D18A4E176A5C}">
      <text>
        <t>[Threaded comment]
Your version of Excel allows you to read this threaded comment; however, any edits to it will get removed if the file is opened in a newer version of Excel. Learn more: https://go.microsoft.com/fwlink/?linkid=870924
Comment:
    Không đăng ký mã là sđt</t>
      </text>
    </comment>
    <comment ref="R48" authorId="1" shapeId="0" xr:uid="{DE112376-968C-4B22-9207-7A8BA72D1823}">
      <text>
        <t>[Threaded comment]
Your version of Excel allows you to read this threaded comment; however, any edits to it will get removed if the file is opened in a newer version of Excel. Learn more: https://go.microsoft.com/fwlink/?linkid=870924
Comment:
    Địa chỉ không có số nhà</t>
      </text>
    </comment>
    <comment ref="S48" authorId="2" shapeId="0" xr:uid="{5D051038-8EEE-49BD-A8AA-7D6FB77592C5}">
      <text>
        <t>[Threaded comment]
Your version of Excel allows you to read this threaded comment; however, any edits to it will get removed if the file is opened in a newer version of Excel. Learn more: https://go.microsoft.com/fwlink/?linkid=870924
Comment:
    Địa chỉ không có số nhà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tc={05F1AFC6-1336-4754-9408-4DC67087C2FF}</author>
    <author>tc={5CDF4BD4-2D72-49F5-9FB3-F43B0B8B3689}</author>
    <author>tc={305B08B8-4DF1-45EB-B060-BA44CBAF901A}</author>
  </authors>
  <commentList>
    <comment ref="C2" authorId="0" shapeId="0" xr:uid="{05F1AFC6-1336-4754-9408-4DC67087C2FF}">
      <text>
        <t>[Threaded comment]
Your version of Excel allows you to read this threaded comment; however, any edits to it will get removed if the file is opened in a newer version of Excel. Learn more: https://go.microsoft.com/fwlink/?linkid=870924
Comment:
    Đấu rồi chưa sd cạnh cty, 2 căn góc; đã thu hồi đồng hồ và thanh lý hợp đồng</t>
      </text>
    </comment>
    <comment ref="C3" authorId="1" shapeId="0" xr:uid="{5CDF4BD4-2D72-49F5-9FB3-F43B0B8B3689}">
      <text>
        <t>[Threaded comment]
Your version of Excel allows you to read this threaded comment; however, any edits to it will get removed if the file is opened in a newer version of Excel. Learn more: https://go.microsoft.com/fwlink/?linkid=870924
Comment:
    Đấu rồi chưa sd cạnh cty, 2 căn góc; đã thu hồi đồng hồ và thanh lý hợp đồng</t>
      </text>
    </comment>
    <comment ref="C4" authorId="2" shapeId="0" xr:uid="{305B08B8-4DF1-45EB-B060-BA44CBAF901A}">
      <text>
        <t>[Threaded comment]
Your version of Excel allows you to read this threaded comment; however, any edits to it will get removed if the file is opened in a newer version of Excel. Learn more: https://go.microsoft.com/fwlink/?linkid=870924
Comment:
    Đấu rồi chưa sd cạnh cty, 2 căn góc; đã thu hồi đồng hồ và thanh lý hợp đồng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tc={D65870A0-6214-4C8B-B30C-4B47B39E3E71}</author>
    <author>tc={CF2DCBDB-5488-4AC1-8411-691DA5FC74BF}</author>
  </authors>
  <commentList>
    <comment ref="AJ38" authorId="0" shapeId="0" xr:uid="{D65870A0-6214-4C8B-B30C-4B47B39E3E71}">
      <text>
        <t>[Threaded comment]
Your version of Excel allows you to read this threaded comment; however, any edits to it will get removed if the file is opened in a newer version of Excel. Learn more: https://go.microsoft.com/fwlink/?linkid=870924
Comment:
    Đấu rồi chưa sd cạnh cty, 2 căn góc; đã thu hồi đồng hồ và thanh lý hợp đồng</t>
      </text>
    </comment>
    <comment ref="AJ39" authorId="1" shapeId="0" xr:uid="{CF2DCBDB-5488-4AC1-8411-691DA5FC74BF}">
      <text>
        <t>[Threaded comment]
Your version of Excel allows you to read this threaded comment; however, any edits to it will get removed if the file is opened in a newer version of Excel. Learn more: https://go.microsoft.com/fwlink/?linkid=870924
Comment:
    Đấu rồi chưa sd cạnh cty, 2 căn góc; đã thu hồi đồng hồ và thanh lý hợp đồng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<sst xmlns="http://schemas.openxmlformats.org/spreadsheetml/2006/main" count="9307" uniqueCount="2240">
  <si>
    <t>STT</t>
  </si>
  <si>
    <t>Mã Khách hàng</t>
  </si>
  <si>
    <t>Tên đăng nhập</t>
  </si>
  <si>
    <t>PB01050029203</t>
  </si>
  <si>
    <t>BECAMEXBINHPHUOC</t>
  </si>
  <si>
    <t>PB01050026557</t>
  </si>
  <si>
    <t>Barie</t>
  </si>
  <si>
    <t>PB01050029721</t>
  </si>
  <si>
    <t>BECAMEXBINHPHUOC3</t>
  </si>
  <si>
    <t>binhphuoc</t>
  </si>
  <si>
    <t>PB01050030968</t>
  </si>
  <si>
    <t>BECAMEXBINHPHUOC5</t>
  </si>
  <si>
    <t>PB01050036092</t>
  </si>
  <si>
    <t>Giếng nước</t>
  </si>
  <si>
    <t>PB01050029669</t>
  </si>
  <si>
    <t>NMXLNT</t>
  </si>
  <si>
    <t>BECAMEXBINHPHUOC4</t>
  </si>
  <si>
    <t>PB01050032992</t>
  </si>
  <si>
    <t>PB01050037856</t>
  </si>
  <si>
    <t>PB01050036935</t>
  </si>
  <si>
    <t>PB01050031833</t>
  </si>
  <si>
    <t>PB01050031832</t>
  </si>
  <si>
    <t>PB01050031835</t>
  </si>
  <si>
    <t>PB01050031968</t>
  </si>
  <si>
    <t>PB01050032432</t>
  </si>
  <si>
    <t>PB01050032706</t>
  </si>
  <si>
    <t>PB01050033634</t>
  </si>
  <si>
    <t>PB01050034661</t>
  </si>
  <si>
    <t>PB01050034418</t>
  </si>
  <si>
    <t>PB01050035887</t>
  </si>
  <si>
    <t>PB01050035886</t>
  </si>
  <si>
    <t>PB01050035885</t>
  </si>
  <si>
    <t>PB01050035718</t>
  </si>
  <si>
    <t>PB01050036023</t>
  </si>
  <si>
    <t>PB01050036024</t>
  </si>
  <si>
    <t>PB01050036029</t>
  </si>
  <si>
    <t>PB01050036030</t>
  </si>
  <si>
    <t>PB01050036031</t>
  </si>
  <si>
    <t>PB01050036032</t>
  </si>
  <si>
    <t>PB01050036033</t>
  </si>
  <si>
    <t>PB01050036034</t>
  </si>
  <si>
    <t>PB01050036035</t>
  </si>
  <si>
    <t>PB01050036465</t>
  </si>
  <si>
    <t>Điểm đấu nối</t>
  </si>
  <si>
    <t>Ngày hết hạn</t>
  </si>
  <si>
    <t>Mã HĐ</t>
  </si>
  <si>
    <t>HT tưới N11-2</t>
  </si>
  <si>
    <t>HT tưới N11-1</t>
  </si>
  <si>
    <t>Chiếu sáng N11-3</t>
  </si>
  <si>
    <t>Chiếu sáng N11-1</t>
  </si>
  <si>
    <t>HT tưới N11-4</t>
  </si>
  <si>
    <t>Chiếu sáng D1</t>
  </si>
  <si>
    <t>Chiếu sáng N11-2</t>
  </si>
  <si>
    <t>22000447/ EVNSPC /HĐMBĐNMĐSH</t>
  </si>
  <si>
    <t>Số công tơ</t>
  </si>
  <si>
    <t>Năm sản xuất</t>
  </si>
  <si>
    <t>Mã hiệu</t>
  </si>
  <si>
    <t>Pass</t>
  </si>
  <si>
    <t>Mục đích sử dụng</t>
  </si>
  <si>
    <t>Sân bóng đá</t>
  </si>
  <si>
    <t>Chiếu sáng N14</t>
  </si>
  <si>
    <t>Tên KH</t>
  </si>
  <si>
    <t>CÔNG TY CỔ PHẦN PHÁT TRIỂN HẠ TẦNG KỸ THUẬT BECAMEX - BÌNH PHƯỚC (PCCC-N13)</t>
  </si>
  <si>
    <t>PCCC N13</t>
  </si>
  <si>
    <t>Tòa nhà VP</t>
  </si>
  <si>
    <t>CÔNG TY CỔ PHẦN PHÁT TRIỂN HẠ TẦNG KỸ THUẬT BECAMEX - BÌNH PHƯỚC</t>
  </si>
  <si>
    <t>CÔNG TY CỔ PHẦN PHÁT TRIỂN HẠ TẦNG KỸ THUẬT BECAMEX-BÌNH PHƯỚC(Giếng nước)</t>
  </si>
  <si>
    <t>SĐT</t>
  </si>
  <si>
    <t>CÔNG TY CP PHÁT TRIỂN HẠ TẦNG KỸ THUẬT BECAMEX - BÌNH PHƯỚC</t>
  </si>
  <si>
    <t>Đội cơ giới</t>
  </si>
  <si>
    <t>Tín hiệu giao thông N3B</t>
  </si>
  <si>
    <t>Chốt BV N11</t>
  </si>
  <si>
    <t>Đèn đường N3B</t>
  </si>
  <si>
    <t>Đèn đường D1B KDC</t>
  </si>
  <si>
    <t>Đèn đường N3</t>
  </si>
  <si>
    <t>Đèn đường D2B KCN (giao D2B-N4B)</t>
  </si>
  <si>
    <t>Chốt BV khu A N5B</t>
  </si>
  <si>
    <t>PB01050038188</t>
  </si>
  <si>
    <t>PB01050038189</t>
  </si>
  <si>
    <t>PB01050038191</t>
  </si>
  <si>
    <t>PB01050038183</t>
  </si>
  <si>
    <t>PB01050038184</t>
  </si>
  <si>
    <t>PB01050038193</t>
  </si>
  <si>
    <t>PB01050038186</t>
  </si>
  <si>
    <t>PB01050038187</t>
  </si>
  <si>
    <t>CS đường N9 (D8M-D9)</t>
  </si>
  <si>
    <t>CS đường D2 (N11-N5M)</t>
  </si>
  <si>
    <t>CS đường N5M (D8M-D8M)</t>
  </si>
  <si>
    <t>CSđường N8 (D8M-D9)</t>
  </si>
  <si>
    <t>CS đường N9 (D8-D8M)</t>
  </si>
  <si>
    <t>PB01050037388</t>
  </si>
  <si>
    <t>PB01050037389</t>
  </si>
  <si>
    <t>PB01050037390</t>
  </si>
  <si>
    <t>PB01050037396</t>
  </si>
  <si>
    <t>PB01050037393</t>
  </si>
  <si>
    <t>PB01050037397</t>
  </si>
  <si>
    <t>PB01050037394</t>
  </si>
  <si>
    <t>PB01050037395</t>
  </si>
  <si>
    <t>PB01050037399</t>
  </si>
  <si>
    <t>PB01050037400</t>
  </si>
  <si>
    <t>PB01050037401</t>
  </si>
  <si>
    <t>PB01050037402</t>
  </si>
  <si>
    <t>PB01050037403</t>
  </si>
  <si>
    <t>PB01050037404</t>
  </si>
  <si>
    <t>PB01050037405</t>
  </si>
  <si>
    <t>PB01050037406</t>
  </si>
  <si>
    <t>PB01050037407</t>
  </si>
  <si>
    <t>PB01050037417</t>
  </si>
  <si>
    <t>PB01050037418</t>
  </si>
  <si>
    <t>PB01050037408</t>
  </si>
  <si>
    <t>PB01050037409</t>
  </si>
  <si>
    <t>PB01050037410</t>
  </si>
  <si>
    <t>PB01050037411</t>
  </si>
  <si>
    <t>PB01050037412</t>
  </si>
  <si>
    <t>PB01050037413</t>
  </si>
  <si>
    <t>PB01050037416</t>
  </si>
  <si>
    <t>PB01050037414</t>
  </si>
  <si>
    <t>PB01050037415</t>
  </si>
  <si>
    <t>PB01050037419</t>
  </si>
  <si>
    <t>PB01050037420</t>
  </si>
  <si>
    <t>CÔNG TY CỔ PHẦN PHÁT TRIỂN HẠ TẦNG KỸ THUẬT BECAMEX-BÌNH PHƯỚC(31 Lô TDC-31)</t>
  </si>
  <si>
    <t>CÔNG TY CỔ PHẦN PHÁT TRIỂN HẠ TẦNG KỸ THUẬT BECAMEX-BÌNH PHƯỚC(30 Lô TDC-31)</t>
  </si>
  <si>
    <t>CÔNG TY CỔ PHẦN PHÁT TRIỂN HẠ TẦNG KỸ THUẬT BECAMEX-BÌNH PHƯỚC(32 Lô TDC-31)</t>
  </si>
  <si>
    <t>CÔNG TY CỔ PHẦN PHÁT TRIỂN HẠ TẦNG KỸ THUẬT BECAMEX-BÌNH PHƯỚC(33 Lô TDC-31)</t>
  </si>
  <si>
    <t>CÔNG TY CỔ PHẦN PHÁT TRIỂN HẠ TẦNG KỸ THUẬT BECAMEX-BÌNH PHƯỚC(34 Lô TDC-31)</t>
  </si>
  <si>
    <t>CÔNG TY CỔ PHẦN PHÁT TRIỂN HẠ TẦNG KỸ THUẬT BECAMEX-BÌNH PHƯỚC(35 Lô TDC-31)</t>
  </si>
  <si>
    <t>CÔNG TY CỔ PHẦN PHÁT TRIỂN HẠ TẦNG KỸ THUẬT BECAMEX-BÌNH PHƯỚC(36 Lô TDC-31)</t>
  </si>
  <si>
    <t>CÔNG TY CỔ PHẦN PHÁT TRIỂN HẠ TẦNG KỸ THUẬT BECAMEX-BÌNH PHƯỚC(37 Lô TDC-31)</t>
  </si>
  <si>
    <t>CÔNG TY CỔ PHẦN PHÁT TRIỂN HẠ TẦNG KỸ THUẬT BECAMEX-BÌNH PHƯỚC(39 Lô TDC-31)</t>
  </si>
  <si>
    <t>CÔNG TY CỔ PHẦN PHÁT TRIỂN HẠ TẦNG KỸ THUẬT BECAMEX-BÌNH PHƯỚC(38 Lô TDC-31)</t>
  </si>
  <si>
    <t>CÔNG TY CỔ PHẦN PHÁT TRIỂN HẠ TẦNG KỸ THUẬT BECAMEX-BÌNH PHƯỚC(40 Lô TDC-31)</t>
  </si>
  <si>
    <t>CÔNG TY CỔ PHẦN PHÁT TRIỂN HẠ TẦNG KỸ THUẬT BECAMEX-BÌNH PHƯỚC(42 Lô TDC-31)</t>
  </si>
  <si>
    <t>CÔNG TY CỔ PHẦN PHÁT TRIỂN HẠ TẦNG KỸ THUẬT BECAMEX-BÌNH PHƯỚC(44 Lô TDC-31)</t>
  </si>
  <si>
    <t>CÔNG TY CỔ PHẦN PHÁT TRIỂN HẠ TẦNG KỸ THUẬT BECAMEX-BÌNH PHƯỚC(45 Lô TDC-31)</t>
  </si>
  <si>
    <t>CÔNG TY CỔ PHẦN PHÁT TRIỂN HẠ TẦNG KỸ THUẬT BECAMEX-BÌNH PHƯỚC(46 Lô TDC-31)</t>
  </si>
  <si>
    <t>CÔNG TY CỔ PHẦN PHÁT TRIỂN HẠ TẦNG KỸ THUẬT BECAMEX-BÌNH PHƯỚC(47 Lô TDC-31)</t>
  </si>
  <si>
    <t>CÔNG TY CỔ PHẦN PHÁT TRIỂN HẠ TẦNG KỸ THUẬT BECAMEX-BÌNH PHƯỚC(48 Lô TDC-31)</t>
  </si>
  <si>
    <t>CÔNG TY CỔ PHẦN PHÁT TRIỂN HẠ TẦNG KỸ THUẬT BECAMEX-BÌNH PHƯỚC(49 Lô TDC-31)</t>
  </si>
  <si>
    <t>CÔNG TY CỔ PHẦN PHÁT TRIỂN HẠ TẦNG KỸ THUẬT BECAMEX-BÌNH PHƯỚC(50 Lô TDC-31)</t>
  </si>
  <si>
    <t>CÔNG TY CỔ PHẦN PHÁT TRIỂN HẠ TẦNG KỸ THUẬT BECAMEX-BÌNH PHƯỚC(51 Lô TDC-31)</t>
  </si>
  <si>
    <t>CÔNG TY CỔ PHẦN PHÁT TRIỂN HẠ TẦNG KỸ THUẬT BECAMEX-BÌNH PHƯỚC(52 Lô TDC-31)</t>
  </si>
  <si>
    <t>CÔNG TY CỔ PHẦN PHÁT TRIỂN HẠ TẦNG KỸ THUẬT BECAMEX-BÌNH PHƯỚC(53 Lô TDC-31)</t>
  </si>
  <si>
    <t>CÔNG TY CỔ PHẦN PHÁT TRIỂN HẠ TẦNG KỸ THUẬT BECAMEX-BÌNH PHƯỚC(54 Lô TDC-31)</t>
  </si>
  <si>
    <t>CÔNG TY CỔ PHẦN PHÁT TRIỂN HẠ TẦNG KỸ THUẬT BECAMEX-BÌNH PHƯỚC(55 Lô TDC-31)</t>
  </si>
  <si>
    <t>CÔNG TY CỔ PHẦN PHÁT TRIỂN HẠ TẦNG KỸ THUẬT BECAMEX-BÌNH PHƯỚC(56 Lô TDC-31)</t>
  </si>
  <si>
    <t>CÔNG TY CỔ PHẦN PHÁT TRIỂN HẠ TẦNG KỸ THUẬT BECAMEX-BÌNH PHƯỚC(57 Lô TDC-31)</t>
  </si>
  <si>
    <t>CÔNG TY CỔ PHẦN PHÁT TRIỂN HẠ TẦNG KỸ THUẬT BECAMEX-BÌNH PHƯỚC(58 Lô TDC-31)</t>
  </si>
  <si>
    <t>CÔNG TY CỔ PHẦN PHÁT TRIỂN HẠ TẦNG KỸ THUẬT BECAMEX-BÌNH PHƯỚC(59 Lô TDC-31)</t>
  </si>
  <si>
    <t>CÔNG TY CỔ PHẦN PHÁT TRIỂN HẠ TẦNG KỸ THUẬT BECAMEX-BÌNH PHƯỚC(41 Lô TDC-31)</t>
  </si>
  <si>
    <t>CÔNG TY CỔ PHẦN PHÁT TRIỂN HẠ TẦNG KỸ THUẬT BECAMEX-BÌNH PHƯỚC(43 Lô TDC-31)</t>
  </si>
  <si>
    <t>PB01050034111</t>
  </si>
  <si>
    <t>PB01050034112</t>
  </si>
  <si>
    <t>PB01050034113</t>
  </si>
  <si>
    <t>PB01050034116</t>
  </si>
  <si>
    <t>PB01050034118</t>
  </si>
  <si>
    <t>PB01050034122</t>
  </si>
  <si>
    <t>PB01050034119</t>
  </si>
  <si>
    <t>PB01050034120</t>
  </si>
  <si>
    <t>PB01050034123</t>
  </si>
  <si>
    <t>PB01050034124</t>
  </si>
  <si>
    <t>PB01050034142</t>
  </si>
  <si>
    <t>PB01050034145</t>
  </si>
  <si>
    <t>PB01050034146</t>
  </si>
  <si>
    <t>PB01050034147</t>
  </si>
  <si>
    <t>PB01050034148</t>
  </si>
  <si>
    <t>PB01050034149</t>
  </si>
  <si>
    <t>PB01050034150</t>
  </si>
  <si>
    <t>PB01050034151</t>
  </si>
  <si>
    <t>PB01050034152</t>
  </si>
  <si>
    <t>PB01050034153</t>
  </si>
  <si>
    <t>PB01050034154</t>
  </si>
  <si>
    <t>PB01050034155</t>
  </si>
  <si>
    <t>PB01050033913</t>
  </si>
  <si>
    <t>PB01050033914</t>
  </si>
  <si>
    <t>Điểm giao N3B và T18 (Ban QLDA)</t>
  </si>
  <si>
    <t>PB01050038948</t>
  </si>
  <si>
    <t>Trụ ATM tại lô TĐC 31</t>
  </si>
  <si>
    <t>ĐV Quản lý</t>
  </si>
  <si>
    <t>P.KD</t>
  </si>
  <si>
    <t>PB01050039108</t>
  </si>
  <si>
    <t>PB01050039103</t>
  </si>
  <si>
    <t>PB01050039104</t>
  </si>
  <si>
    <t>PB01050039105</t>
  </si>
  <si>
    <t>PB01050039106</t>
  </si>
  <si>
    <t>PB01050039102</t>
  </si>
  <si>
    <t>PB01050039107</t>
  </si>
  <si>
    <t>70697124000936</t>
  </si>
  <si>
    <t>70697124000930</t>
  </si>
  <si>
    <t>70697124000931</t>
  </si>
  <si>
    <t>70697124000933</t>
  </si>
  <si>
    <t>70697124000934</t>
  </si>
  <si>
    <t>70697124000929</t>
  </si>
  <si>
    <t>70697124000935</t>
  </si>
  <si>
    <t>Căn 76 lô AM16</t>
  </si>
  <si>
    <t>Trụ 20B/32/15H- 191D/473 CT</t>
  </si>
  <si>
    <t>T042023231200117594</t>
  </si>
  <si>
    <t>T042023231200117598</t>
  </si>
  <si>
    <t>Căn 79 lô AM16</t>
  </si>
  <si>
    <t>T042023231200117599</t>
  </si>
  <si>
    <t>Căn 77 lô AM16</t>
  </si>
  <si>
    <t>T042023231200117600</t>
  </si>
  <si>
    <t>Căn 80 lô AM16</t>
  </si>
  <si>
    <t>T042023231200117593</t>
  </si>
  <si>
    <t>Căn 78 lô AM16</t>
  </si>
  <si>
    <t>Trụ 20B/32/14H- 191D/473 CT</t>
  </si>
  <si>
    <t>T042023231200117595</t>
  </si>
  <si>
    <t>Căn 81 lô AM16</t>
  </si>
  <si>
    <t>T042023231200117596</t>
  </si>
  <si>
    <t>Căn 82 lô AM16</t>
  </si>
  <si>
    <t>Đèn đường N1B-N3B</t>
  </si>
  <si>
    <t>PB01050039344</t>
  </si>
  <si>
    <t>PB01050039345</t>
  </si>
  <si>
    <t>PB01050039346</t>
  </si>
  <si>
    <t>PB01050039348</t>
  </si>
  <si>
    <t>PB01050039347</t>
  </si>
  <si>
    <t>PB01050039349</t>
  </si>
  <si>
    <t>PB01050039350</t>
  </si>
  <si>
    <t>PB01050039352</t>
  </si>
  <si>
    <t>PB01050039351</t>
  </si>
  <si>
    <t>PB01050039353</t>
  </si>
  <si>
    <t>PB01050039354</t>
  </si>
  <si>
    <t>PB01050039355</t>
  </si>
  <si>
    <t>PB01050039356</t>
  </si>
  <si>
    <t>PB01050039357</t>
  </si>
  <si>
    <t>PB01050039358</t>
  </si>
  <si>
    <t>PB01050039360</t>
  </si>
  <si>
    <t>PB01050039359</t>
  </si>
  <si>
    <t>PB01050039362</t>
  </si>
  <si>
    <t>PB01050039361</t>
  </si>
  <si>
    <t>PB01050039363</t>
  </si>
  <si>
    <t>PB01050039364</t>
  </si>
  <si>
    <t>PB01050039366</t>
  </si>
  <si>
    <t>PB01050039365</t>
  </si>
  <si>
    <t>PB01050039368</t>
  </si>
  <si>
    <t>PB01050039367</t>
  </si>
  <si>
    <t>70697124001191</t>
  </si>
  <si>
    <t>70697124001192</t>
  </si>
  <si>
    <t>70697124001193</t>
  </si>
  <si>
    <t>70697124001195</t>
  </si>
  <si>
    <t>70697124001194</t>
  </si>
  <si>
    <t>70697124001196</t>
  </si>
  <si>
    <t>70697124001197</t>
  </si>
  <si>
    <t>70697124001199</t>
  </si>
  <si>
    <t>70697124001198</t>
  </si>
  <si>
    <t>70697124001200</t>
  </si>
  <si>
    <t>70697124001201</t>
  </si>
  <si>
    <t>70697124001202</t>
  </si>
  <si>
    <t>70697124001203</t>
  </si>
  <si>
    <t>70697124001204</t>
  </si>
  <si>
    <t>70697124001205</t>
  </si>
  <si>
    <t>70697124001207</t>
  </si>
  <si>
    <t>70697124001206</t>
  </si>
  <si>
    <t>70697124001209</t>
  </si>
  <si>
    <t>70697124001208</t>
  </si>
  <si>
    <t>70697124001210</t>
  </si>
  <si>
    <t>70697124001211</t>
  </si>
  <si>
    <t>70697124001213</t>
  </si>
  <si>
    <t>70697124001212</t>
  </si>
  <si>
    <t>70697124001215</t>
  </si>
  <si>
    <t>70697124001214</t>
  </si>
  <si>
    <t>GK939817560</t>
  </si>
  <si>
    <t>GK939817564</t>
  </si>
  <si>
    <t>GK939817702</t>
  </si>
  <si>
    <t>GK939817726</t>
  </si>
  <si>
    <t>GK939817727</t>
  </si>
  <si>
    <t>GK939817728</t>
  </si>
  <si>
    <t>GK939817729</t>
  </si>
  <si>
    <t>GK939817731</t>
  </si>
  <si>
    <t>GK939817732</t>
  </si>
  <si>
    <t>GK939817733</t>
  </si>
  <si>
    <t>GK939817736</t>
  </si>
  <si>
    <t>GK939817737</t>
  </si>
  <si>
    <t>GK939817739</t>
  </si>
  <si>
    <t>GK939817741</t>
  </si>
  <si>
    <t>GK939817742</t>
  </si>
  <si>
    <t>GK939817788</t>
  </si>
  <si>
    <t>GK939818163</t>
  </si>
  <si>
    <t>GK939818404</t>
  </si>
  <si>
    <t>GK939818441</t>
  </si>
  <si>
    <t>GK939818526</t>
  </si>
  <si>
    <t>GK939818529</t>
  </si>
  <si>
    <t>GK939818531</t>
  </si>
  <si>
    <t>GK939818532</t>
  </si>
  <si>
    <t>GK939818533</t>
  </si>
  <si>
    <t>GK939818535</t>
  </si>
  <si>
    <t>Cách để đổi tên hàng loạt: Công thức Replace Excel cụ thể như sau:
=REPLACE(old_text,start_num,num_chars,new_text)
Ví dụ cần thay "2" ở ô F105 bằng "Căn số 2 lô AM16" ta thực hiện lệnh sau: REPLACE(F105;0;0,"Căn số ")</t>
  </si>
  <si>
    <t>PB01050039586</t>
  </si>
  <si>
    <t>PB01050039587</t>
  </si>
  <si>
    <t>PB01050039588</t>
  </si>
  <si>
    <t>PB01050039589</t>
  </si>
  <si>
    <t>PB01050039605</t>
  </si>
  <si>
    <t>PB01050039594</t>
  </si>
  <si>
    <t>PB01050039595</t>
  </si>
  <si>
    <t>PB01050039596</t>
  </si>
  <si>
    <t>PB01050039597</t>
  </si>
  <si>
    <t>PB01050039598</t>
  </si>
  <si>
    <t>PB01050039600</t>
  </si>
  <si>
    <t>PB01050039601</t>
  </si>
  <si>
    <t>PB01050039602</t>
  </si>
  <si>
    <t>PB01050039615</t>
  </si>
  <si>
    <t>PB01050039606</t>
  </si>
  <si>
    <t>PB01050039607</t>
  </si>
  <si>
    <t>PB01050039608</t>
  </si>
  <si>
    <t>PB01050039610</t>
  </si>
  <si>
    <t>PB01050039611</t>
  </si>
  <si>
    <t>PB01050039612</t>
  </si>
  <si>
    <t>PB01050039613</t>
  </si>
  <si>
    <t>PB01050039614</t>
  </si>
  <si>
    <t>PB01050039616</t>
  </si>
  <si>
    <t>PB01050039617</t>
  </si>
  <si>
    <t>PB01050039618</t>
  </si>
  <si>
    <t>PB01050039619</t>
  </si>
  <si>
    <t>PB01050039620</t>
  </si>
  <si>
    <t>PB01050039621</t>
  </si>
  <si>
    <t>PB01050039622</t>
  </si>
  <si>
    <t>PB01050039625</t>
  </si>
  <si>
    <t>PB01050039626</t>
  </si>
  <si>
    <t>PB01050039627</t>
  </si>
  <si>
    <t>PB01050039628</t>
  </si>
  <si>
    <t>PB01050039629</t>
  </si>
  <si>
    <t>PB01050039630</t>
  </si>
  <si>
    <t>PB01050039631</t>
  </si>
  <si>
    <t>PB01050039632</t>
  </si>
  <si>
    <t>PB01050039633</t>
  </si>
  <si>
    <t>PB01050039642</t>
  </si>
  <si>
    <t>PB01050039635</t>
  </si>
  <si>
    <t>PB01050039636</t>
  </si>
  <si>
    <t>PB01050039637</t>
  </si>
  <si>
    <t>PB01050039639</t>
  </si>
  <si>
    <t>PB01050039640</t>
  </si>
  <si>
    <t>PB01050039641</t>
  </si>
  <si>
    <t>PB01050039645</t>
  </si>
  <si>
    <t>PB01050039646</t>
  </si>
  <si>
    <t>PB01050039647</t>
  </si>
  <si>
    <t>PB01050039648</t>
  </si>
  <si>
    <t>PB01050039649</t>
  </si>
  <si>
    <t>PB01050039650</t>
  </si>
  <si>
    <t>PB01050039651</t>
  </si>
  <si>
    <t>PB01050039652</t>
  </si>
  <si>
    <t>PB01050039653</t>
  </si>
  <si>
    <t>PB01050039654</t>
  </si>
  <si>
    <t>PB01050039655</t>
  </si>
  <si>
    <t>PB01050039656</t>
  </si>
  <si>
    <t>PB01050039657</t>
  </si>
  <si>
    <t>PB01050039658</t>
  </si>
  <si>
    <t>PB01050039659</t>
  </si>
  <si>
    <t>PB01050039660</t>
  </si>
  <si>
    <t>PB01050039661</t>
  </si>
  <si>
    <t>PB01050039662</t>
  </si>
  <si>
    <t>PB01050039663</t>
  </si>
  <si>
    <t>PB01050039664</t>
  </si>
  <si>
    <t>PB01050039665</t>
  </si>
  <si>
    <t>PB01050039666</t>
  </si>
  <si>
    <t>PB01050039667</t>
  </si>
  <si>
    <t>PB01050039668</t>
  </si>
  <si>
    <t>PB01050039669</t>
  </si>
  <si>
    <t>PB01050039670</t>
  </si>
  <si>
    <t>PB01050039671</t>
  </si>
  <si>
    <t>PB01050039672</t>
  </si>
  <si>
    <t>PB01050039673</t>
  </si>
  <si>
    <t>PB01050039674</t>
  </si>
  <si>
    <t>GK940239455</t>
  </si>
  <si>
    <t>GK940239460</t>
  </si>
  <si>
    <t>GK940239463</t>
  </si>
  <si>
    <t>GK940239466</t>
  </si>
  <si>
    <t>GK940239468</t>
  </si>
  <si>
    <t>GK940239472</t>
  </si>
  <si>
    <t>GK940239474</t>
  </si>
  <si>
    <t>GK940239477</t>
  </si>
  <si>
    <t>GK940239480</t>
  </si>
  <si>
    <t>GK940239484</t>
  </si>
  <si>
    <t>GK940239490</t>
  </si>
  <si>
    <t>GK940239492</t>
  </si>
  <si>
    <t>GK940239494</t>
  </si>
  <si>
    <t>GK940239495</t>
  </si>
  <si>
    <t>GK940239498</t>
  </si>
  <si>
    <t>GK940239499</t>
  </si>
  <si>
    <t>GK940239503</t>
  </si>
  <si>
    <t>GK940239504</t>
  </si>
  <si>
    <t>GK940239505</t>
  </si>
  <si>
    <t>GK940239507</t>
  </si>
  <si>
    <t>GK940239508</t>
  </si>
  <si>
    <t>GK940239511</t>
  </si>
  <si>
    <t>GK940239513</t>
  </si>
  <si>
    <t>GK940239519</t>
  </si>
  <si>
    <t>GK940239521</t>
  </si>
  <si>
    <t>GK940239524</t>
  </si>
  <si>
    <t>GK940239527</t>
  </si>
  <si>
    <t>GK940239532</t>
  </si>
  <si>
    <t>GK940239536</t>
  </si>
  <si>
    <t>GK940239537</t>
  </si>
  <si>
    <t>GK940239538</t>
  </si>
  <si>
    <t>GK940239540</t>
  </si>
  <si>
    <t>GK940239542</t>
  </si>
  <si>
    <t>GK940239544</t>
  </si>
  <si>
    <t>GK940239548</t>
  </si>
  <si>
    <t>GK940239550</t>
  </si>
  <si>
    <t>GK940239552</t>
  </si>
  <si>
    <t>GK940239555</t>
  </si>
  <si>
    <t>GK940239557</t>
  </si>
  <si>
    <t>GK940239558</t>
  </si>
  <si>
    <t>GK940239559</t>
  </si>
  <si>
    <t>GK940239562</t>
  </si>
  <si>
    <t>GK940239563</t>
  </si>
  <si>
    <t>GK940239573</t>
  </si>
  <si>
    <t>GK940239605</t>
  </si>
  <si>
    <t>GK940239608</t>
  </si>
  <si>
    <t>GK940239611</t>
  </si>
  <si>
    <t>GK940239614</t>
  </si>
  <si>
    <t>GK940239616</t>
  </si>
  <si>
    <t>GK940239617</t>
  </si>
  <si>
    <t>GK940239620</t>
  </si>
  <si>
    <t>GK940239624</t>
  </si>
  <si>
    <t>GK940239626</t>
  </si>
  <si>
    <t>GK940239630</t>
  </si>
  <si>
    <t>GK940239635</t>
  </si>
  <si>
    <t>GK940239638</t>
  </si>
  <si>
    <t>GK940239640</t>
  </si>
  <si>
    <t>GK940239646</t>
  </si>
  <si>
    <t>GK940239648</t>
  </si>
  <si>
    <t>GK940239651</t>
  </si>
  <si>
    <t>GK940239653</t>
  </si>
  <si>
    <t>GK940239655</t>
  </si>
  <si>
    <t>GK940239657</t>
  </si>
  <si>
    <t>GK940239660</t>
  </si>
  <si>
    <t>GK940239670</t>
  </si>
  <si>
    <t>GK940239671</t>
  </si>
  <si>
    <t>GK940239673</t>
  </si>
  <si>
    <t>GK940239675</t>
  </si>
  <si>
    <t>GK940239676</t>
  </si>
  <si>
    <t>GK940239679</t>
  </si>
  <si>
    <t>GK940239680</t>
  </si>
  <si>
    <t>GK940239681</t>
  </si>
  <si>
    <t>GK940239682</t>
  </si>
  <si>
    <t>GK940239690</t>
  </si>
  <si>
    <t>GK940239692</t>
  </si>
  <si>
    <t>Căn 21 AM16</t>
  </si>
  <si>
    <t>Căn 22 AM16</t>
  </si>
  <si>
    <t>Căn 23 AM16</t>
  </si>
  <si>
    <t>Căn 24 AM16</t>
  </si>
  <si>
    <t>Căn 25 AM16</t>
  </si>
  <si>
    <t>Căn 26 AM16</t>
  </si>
  <si>
    <t>Căn 27 AM16</t>
  </si>
  <si>
    <t>Căn 28 AM16</t>
  </si>
  <si>
    <t>Căn 29 AM16</t>
  </si>
  <si>
    <t>Căn 30 AM16</t>
  </si>
  <si>
    <t>Căn 31 AM16</t>
  </si>
  <si>
    <t>Căn 32 AM16</t>
  </si>
  <si>
    <t>Căn 33 AM16</t>
  </si>
  <si>
    <t>Căn 34 AM16</t>
  </si>
  <si>
    <t>Căn 35 AM16</t>
  </si>
  <si>
    <t>Căn 36 AM16</t>
  </si>
  <si>
    <t>Căn 37 AM16</t>
  </si>
  <si>
    <t>Căn 38 AM16</t>
  </si>
  <si>
    <t>Căn 39 AM16</t>
  </si>
  <si>
    <t>Căn 40 AM16</t>
  </si>
  <si>
    <t>Căn 41 AM16</t>
  </si>
  <si>
    <t>Căn 46 AM16</t>
  </si>
  <si>
    <t>Căn 75 AM16</t>
  </si>
  <si>
    <t>Căn 74 AM16</t>
  </si>
  <si>
    <t>Căn 73 AM16</t>
  </si>
  <si>
    <t>Căn 72 AM16</t>
  </si>
  <si>
    <t>Căn 71 AM16</t>
  </si>
  <si>
    <t>Căn 70 AM16</t>
  </si>
  <si>
    <t>Căn 69 AM16</t>
  </si>
  <si>
    <t>Căn 68 AM16</t>
  </si>
  <si>
    <t>Căn 67 AM16</t>
  </si>
  <si>
    <t>Căn 66 AM16</t>
  </si>
  <si>
    <t>Căn 65 AM16</t>
  </si>
  <si>
    <t>Căn 64 AM16</t>
  </si>
  <si>
    <t>Căn 63 AM16</t>
  </si>
  <si>
    <t>Căn 62 AM16</t>
  </si>
  <si>
    <t>Căn 61 AM16</t>
  </si>
  <si>
    <t>Căn 60 AM16</t>
  </si>
  <si>
    <t>Căn 59 AM16</t>
  </si>
  <si>
    <t>Căn 58 AM16</t>
  </si>
  <si>
    <t>Căn 57 AM16</t>
  </si>
  <si>
    <t>Căn 56 AM16</t>
  </si>
  <si>
    <t>Căn 55 AM16</t>
  </si>
  <si>
    <t>Căn 54 AM16</t>
  </si>
  <si>
    <t>Căn 53 AM16</t>
  </si>
  <si>
    <t>Căn 52 AM16</t>
  </si>
  <si>
    <t>Căn 51 AM16</t>
  </si>
  <si>
    <t>Căn 50 AM16</t>
  </si>
  <si>
    <t>Căn 49 AM16</t>
  </si>
  <si>
    <t>Căn 48 AM16</t>
  </si>
  <si>
    <t>Căn 47 AM16</t>
  </si>
  <si>
    <t>Căn 45 AM16</t>
  </si>
  <si>
    <t>Căn 44 AM16</t>
  </si>
  <si>
    <t>Căn 43 AM16</t>
  </si>
  <si>
    <t>Căn 42 AM16</t>
  </si>
  <si>
    <t>Căn 01 AM16</t>
  </si>
  <si>
    <t>Căn 20 AM16</t>
  </si>
  <si>
    <t>Căn 19 AM16</t>
  </si>
  <si>
    <t>Căn 18 AM16</t>
  </si>
  <si>
    <t>Căn 17 AM16</t>
  </si>
  <si>
    <t>Căn 16 AM16</t>
  </si>
  <si>
    <t>Căn 15 AM16</t>
  </si>
  <si>
    <t>Căn 14 AM16</t>
  </si>
  <si>
    <t>Căn 13 AM16</t>
  </si>
  <si>
    <t>Căn 12 AM16</t>
  </si>
  <si>
    <t>Căn 11 AM16</t>
  </si>
  <si>
    <t>Căn 10 AM16</t>
  </si>
  <si>
    <t>Căn 9 AM16</t>
  </si>
  <si>
    <t>Căn 8 AM16</t>
  </si>
  <si>
    <t>Căn 7 AM16</t>
  </si>
  <si>
    <t>Căn 6 AM16</t>
  </si>
  <si>
    <t>Căn 5 AM16</t>
  </si>
  <si>
    <t>Căn 4 AM16</t>
  </si>
  <si>
    <t>Căn 3 AM16</t>
  </si>
  <si>
    <t>Căn 2 AM16</t>
  </si>
  <si>
    <t>Căn 2 lô TĐC44</t>
  </si>
  <si>
    <t xml:space="preserve"> Căn 3 lô TĐC44</t>
  </si>
  <si>
    <t>Căn 4 lô TĐC44</t>
  </si>
  <si>
    <t>Căn 5 lô TĐC44</t>
  </si>
  <si>
    <t>Căn 6 lô TĐC44</t>
  </si>
  <si>
    <t>Căn 7 TĐC44</t>
  </si>
  <si>
    <t>Căn 8 TĐC44</t>
  </si>
  <si>
    <t>Căn 9 TĐC44</t>
  </si>
  <si>
    <t>Căn 10 TĐC44</t>
  </si>
  <si>
    <t>Căn 11 TĐC44</t>
  </si>
  <si>
    <t>Căn 12 TĐC44</t>
  </si>
  <si>
    <t>Căn 13 TĐC44</t>
  </si>
  <si>
    <t>Căn 14 TĐC44</t>
  </si>
  <si>
    <t>Căn 15 TĐC44</t>
  </si>
  <si>
    <t>Căn 16 TĐC44</t>
  </si>
  <si>
    <t>Căn 17 TĐC44</t>
  </si>
  <si>
    <t>Căn 18 TĐC44</t>
  </si>
  <si>
    <t>Căn 19 TĐC44</t>
  </si>
  <si>
    <t>Căn 20 TĐC44</t>
  </si>
  <si>
    <t>Căn 21 TĐC44</t>
  </si>
  <si>
    <t>Căn 22 TĐC44</t>
  </si>
  <si>
    <t>Căn 23 TĐC44</t>
  </si>
  <si>
    <t>Căn 24 TĐC44</t>
  </si>
  <si>
    <t>Căn 25 TĐC44</t>
  </si>
  <si>
    <t>Căn 26 TĐC44</t>
  </si>
  <si>
    <t>11435501</t>
  </si>
  <si>
    <t>11435128</t>
  </si>
  <si>
    <t>11581284</t>
  </si>
  <si>
    <t>11582892</t>
  </si>
  <si>
    <t>Đường D8/N1M Trụ 20B/32/18H- NR 191D/47301053542019</t>
  </si>
  <si>
    <t>11580929</t>
  </si>
  <si>
    <t>11580292</t>
  </si>
  <si>
    <t>11582715</t>
  </si>
  <si>
    <t>11435215</t>
  </si>
  <si>
    <t>11583324</t>
  </si>
  <si>
    <t>Đường D8/N1M Trụ 20B/32/19H- NR 191D/47301053542019</t>
  </si>
  <si>
    <t>11581267</t>
  </si>
  <si>
    <t>11581345</t>
  </si>
  <si>
    <t>1411223381</t>
  </si>
  <si>
    <t>Đường D8/N1M Trụ 20B/32/4H- NR 191D/47301053542000</t>
  </si>
  <si>
    <t>Đường D8/N1M Trụ 20B/32/20H- NR 191D/47301053542019</t>
  </si>
  <si>
    <t>11435109</t>
  </si>
  <si>
    <t>11435136</t>
  </si>
  <si>
    <t>11584500</t>
  </si>
  <si>
    <t>11582797</t>
  </si>
  <si>
    <t>11435019</t>
  </si>
  <si>
    <t>11436310</t>
  </si>
  <si>
    <t>11583302</t>
  </si>
  <si>
    <t>11435110</t>
  </si>
  <si>
    <t>1411057576</t>
  </si>
  <si>
    <t>1411163055</t>
  </si>
  <si>
    <t>1411222703</t>
  </si>
  <si>
    <t>1411223000</t>
  </si>
  <si>
    <t>0131194040</t>
  </si>
  <si>
    <t>1411223067</t>
  </si>
  <si>
    <t>1411059337</t>
  </si>
  <si>
    <t>1411021460</t>
  </si>
  <si>
    <t>1411057056</t>
  </si>
  <si>
    <t>1411125857</t>
  </si>
  <si>
    <t>1411185550</t>
  </si>
  <si>
    <t>1411185151</t>
  </si>
  <si>
    <t>0131194860</t>
  </si>
  <si>
    <t>11435080</t>
  </si>
  <si>
    <t>11581460</t>
  </si>
  <si>
    <t>11581694</t>
  </si>
  <si>
    <t>1200144126</t>
  </si>
  <si>
    <t>Đường D8/N1M Trụ 20B/32/17H- NR 191D/47301053542019</t>
  </si>
  <si>
    <t>Đường D8/N1M Trụ 20B/32/16H- NR 191D/47301053542000</t>
  </si>
  <si>
    <t>28/06/202101053542000141116267016/09/2024110</t>
  </si>
  <si>
    <t>Đường D8/N1M Trụ 20B/32/15H- NR 191D/47301053542000</t>
  </si>
  <si>
    <t>Đường D8/N1M Trụ 20B/32/15H- NR 191D/4730105354200</t>
  </si>
  <si>
    <t>Đường D8/N1M Trụ 20B/32/17H- NR 191D/47301053542024</t>
  </si>
  <si>
    <t>Đường D8/N1M Trụ 20B/32/16H- NR 191D/47301053542019</t>
  </si>
  <si>
    <t>11580448</t>
  </si>
  <si>
    <t>1411057405</t>
  </si>
  <si>
    <t>1411183992</t>
  </si>
  <si>
    <t>1411057359</t>
  </si>
  <si>
    <t>11435075</t>
  </si>
  <si>
    <t>11436578</t>
  </si>
  <si>
    <t>11583643</t>
  </si>
  <si>
    <t>1411125274</t>
  </si>
  <si>
    <t>1411125740</t>
  </si>
  <si>
    <t>0131166118</t>
  </si>
  <si>
    <t>1611060356</t>
  </si>
  <si>
    <t>0131195277</t>
  </si>
  <si>
    <t>1611755887</t>
  </si>
  <si>
    <t>1411162106</t>
  </si>
  <si>
    <t>11583725</t>
  </si>
  <si>
    <t>11583564</t>
  </si>
  <si>
    <t>11582961</t>
  </si>
  <si>
    <t>11582714</t>
  </si>
  <si>
    <t>11581010</t>
  </si>
  <si>
    <t>11435364</t>
  </si>
  <si>
    <t>PB01050039747</t>
  </si>
  <si>
    <t>PB01050039746</t>
  </si>
  <si>
    <t>PB01050039745</t>
  </si>
  <si>
    <t>PB01050039744</t>
  </si>
  <si>
    <t>PB01050039743</t>
  </si>
  <si>
    <t>PB01050039742</t>
  </si>
  <si>
    <t>PB01050039728</t>
  </si>
  <si>
    <t>11584492</t>
  </si>
  <si>
    <t>PB01050039676</t>
  </si>
  <si>
    <t>11584515</t>
  </si>
  <si>
    <t>PB01050039741</t>
  </si>
  <si>
    <t>11582952</t>
  </si>
  <si>
    <t>PB01050039740</t>
  </si>
  <si>
    <t>11582984</t>
  </si>
  <si>
    <t>PB01050039739</t>
  </si>
  <si>
    <t>11581006</t>
  </si>
  <si>
    <t>11584512</t>
  </si>
  <si>
    <t>PB01050039738</t>
  </si>
  <si>
    <t>PB01050039729</t>
  </si>
  <si>
    <t>11583642</t>
  </si>
  <si>
    <t>11435117</t>
  </si>
  <si>
    <t>11438192</t>
  </si>
  <si>
    <t>11583277</t>
  </si>
  <si>
    <t>11583279</t>
  </si>
  <si>
    <t>11583278</t>
  </si>
  <si>
    <t>11435074</t>
  </si>
  <si>
    <t>11579928</t>
  </si>
  <si>
    <t>11436640</t>
  </si>
  <si>
    <t>Đường D8/N1M Trụ 20B/32/21H- NR 191D/47301053542019</t>
  </si>
  <si>
    <t>PB01050039730</t>
  </si>
  <si>
    <t>PB01050039731</t>
  </si>
  <si>
    <t>PB01050039732</t>
  </si>
  <si>
    <t>PB01050039733</t>
  </si>
  <si>
    <t>PB01050039734</t>
  </si>
  <si>
    <t>PB01050039735</t>
  </si>
  <si>
    <t>PB01050039736</t>
  </si>
  <si>
    <t>PB01050039737</t>
  </si>
  <si>
    <t>Anh Khánh</t>
  </si>
  <si>
    <t>PB0105PB01050037856001CÔNG TY CỔ PHẦN PHÁT TRIỂN HẠ TẦNG KỸ THUẬT BECAMEX - BÌNH PHƯỚCTrụ 20B/32/14H- NR 191D/473 P. Minh Thành01053542024120031711520/09/202314</t>
  </si>
  <si>
    <t>PB0105PB01050039102001CÔNG TY CỔ PHẦN PHÁT TRIỂN HẠ TẦNG KỸ THUẬT BECAMEX - BÌNH PHƯỚCTrụ 20B/32/21H- 191D/473 CT01053542023120011759531/07/2024110</t>
  </si>
  <si>
    <t>PB0105PB01050038191001CÔNG TY CỔ PHẦN PHÁT TRIỂN HẠ TẦNG KỸ THUẬT BECAMEX - BÌNH PHƯỚCTrụ 20B/32/14H- NR 191D/473 CT KP 4, Minh Thành0105354201700213011/12/202314</t>
  </si>
  <si>
    <t>PB0105PB01050038193001CÔNG TY CỔ PHẦN PHÁT TRIỂN HẠ TẦNG KỸ THUẬT BECAMEX - BÌNH PHƯỚCTrụ 20B/32/28H- NR 191D/473 CT KP 4, Minh Thành01053542000162101626511/12/202314</t>
  </si>
  <si>
    <t>PB0105PB01050039107001CÔNG TY CỔ PHẦN PHÁT TRIỂN HẠ TẦNG KỸ THUẬT BECAMEX - BÌNH PHƯỚCTrụ 20B/32/21H- 191D/473 CT01053542023120011759626/07/2024110</t>
  </si>
  <si>
    <t>PB0105PB01050039108001CÔNG TY CỔ PHẦN PHÁT TRIỂN HẠ TẦNG KỸ THUẬT BECAMEX - BÌNH PHƯỚCTrụ 20B/32/20H- 191D/473 CT01053542023120011759431/07/2024110</t>
  </si>
  <si>
    <t>PB0105PB01050039104001CÔNG TY CỔ PHẦN PHÁT TRIỂN HẠ TẦNG KỸ THUẬT BECAMEX - BÌNH PHƯỚCTrụ 20B/32/20H- 191D/473 CT01053542023120011759931/07/2024110</t>
  </si>
  <si>
    <t>PB0105PB01050039106001CÔNG TY CỔ PHẦN PHÁT TRIỂN HẠ TẦNG KỸ THUẬT BECAMEX - BÌNH PHƯỚCTrụ 20B/32/20H- 191D/473 CT01053542023120011759331/07/2024110</t>
  </si>
  <si>
    <t>PB0105PB01050039103001CÔNG TY CỔ PHẦN PHÁT TRIỂN HẠ TẦNG KỸ THUẬT BECAMEX - BÌNH PHƯỚCTrụ 20B/32/21H- 191D/473 CT01053542023120011759831/07/2024110</t>
  </si>
  <si>
    <t>Mã KH</t>
  </si>
  <si>
    <t>Địa chỉ</t>
  </si>
  <si>
    <t>Mã công tơ</t>
  </si>
  <si>
    <t>Ngày lắp</t>
  </si>
  <si>
    <t>PB0105PB01050039105001CÔNG TY CỔ PHẦN PHÁT TRIỂN HẠ TẦNG KỸ THUẬT BECAMEX - BÌNH PHƯỚCTrụ 20B/32/21H- 191D/473 CT01053542023120011760031/07/2024110</t>
  </si>
  <si>
    <t>PB0105PB01050039654001CÔNG TY CỔ PHẦN PHÁT TRIỂN HẠ TẦNG KỸ THUẬT BECAMEX - BÌNH PHƯỚCĐường D8/N1M Trụ 20B/32/4H- NR 191D/47301053542000141118515110/10/2024110</t>
  </si>
  <si>
    <t>PB0105PB01050039653001CÔNG TY CỔ PHẦN PHÁT TRIỂN HẠ TẦNG KỸ THUẬT BECAMEX - BÌNH PHƯỚCĐường D8/N1M Trụ 20B/32/4H- NR 191D/47301053542000141118555010/10/2024110</t>
  </si>
  <si>
    <t>PB0105PB01050039652001CÔNG TY CỔ PHẦN PHÁT TRIỂN HẠ TẦNG KỸ THUẬT BECAMEX - BÌNH PHƯỚCĐường D8/N1M Trụ 20B/32/15H- NR 191D/47301053542000141112585716/09/2024110</t>
  </si>
  <si>
    <t>PB0105PB01050039651001CÔNG TY CỔ PHẦN PHÁT TRIỂN HẠ TẦNG KỸ THUẬT BECAMEX - BÌNH PHƯỚCĐường D8/N1M Trụ 20B/32/15H- NR 191D/47301053542000141105705616/09/2024110</t>
  </si>
  <si>
    <t>PB0105PB01050039615001CÔNG TY CỔ PHẦN PHÁT TRIỂN HẠ TẦNG KỸ THUẬT BECAMEX - BÌNH PHƯỚCĐường D8/N1M Trụ 20B/32/4H- NR 191D/47301053542000141122338110/10/2024110</t>
  </si>
  <si>
    <t>PB0105PB01050039650001CÔNG TY CỔ PHẦN PHÁT TRIỂN HẠ TẦNG KỸ THUẬT BECAMEX - BÌNH PHƯỚCĐường D8/N1M Trụ 20B/32/4H- NR 191D/47301053542000141102146010/10/2024110</t>
  </si>
  <si>
    <t>PB0105PB01050039649001CÔNG TY CỔ PHẦN PHÁT TRIỂN HẠ TẦNG KỸ THUẬT BECAMEX - BÌNH PHƯỚCĐường D8/N1M Trụ 20B/32/15H- NR 191D/47301053542000141105933716/09/2024110</t>
  </si>
  <si>
    <t>PB0105PB01050039648001CÔNG TY CỔ PHẦN PHÁT TRIỂN HẠ TẦNG KỸ THUẬT BECAMEX - BÌNH PHƯỚCĐường D8/N1M Trụ 20B/32/15H- NR 191D/47301053542000141122306716/09/2024110</t>
  </si>
  <si>
    <t>PB0105PB01050039655001CÔNG TY CỔ PHẦN PHÁT TRIỂN HẠ TẦNG KỸ THUẬT BECAMEX - BÌNH PHƯỚCĐường D8/N1M Trụ 20B/32/15H- NR 191D/47301053542000013119486016/09/2024110</t>
  </si>
  <si>
    <t>PB0105PB01050039674001CÔNG TY CỔ PHẦN PHÁT TRIỂN HẠ TẦNG KỸ THUẬT BECAMEX - BÌNH PHƯỚCĐường D8/N1M Trụ 20B/32/15H- NR 191D/47301053542000141116210616/09/2024110</t>
  </si>
  <si>
    <t>PB0105PB01050039673001CÔNG TY CỔ PHẦN PHÁT TRIỂN HẠ TẦNG KỸ THUẬT BECAMEX - BÌNH PHƯỚCĐường D8/N1M Trụ 20B/32/15H- NR 191D/47301053542000161175588716/09/2024110</t>
  </si>
  <si>
    <t>PB0105PB01050039672001CÔNG TY CỔ PHẦN PHÁT TRIỂN HẠ TẦNG KỸ THUẬT BECAMEX - BÌNH PHƯỚCĐường D8/N1M Trụ 20B/32/15H- NR 191D/47301053542000013119527716/09/2024110</t>
  </si>
  <si>
    <t>PB0105PB01050039671001CÔNG TY CỔ PHẦN PHÁT TRIỂN HẠ TẦNG KỸ THUẬT BECAMEX - BÌNH PHƯỚCĐường D8/N1M Trụ 20B/32/15H- NR 191D/47301053542000161106035616/09/2024110</t>
  </si>
  <si>
    <t>PB0105PB01050039670001CÔNG TY CỔ PHẦN PHÁT TRIỂN HẠ TẦNG KỸ THUẬT BECAMEX - BÌNH PHƯỚCĐường D8/N1M Trụ 20B/32/15H- NR 191D/47301053542000013116611816/09/2024110</t>
  </si>
  <si>
    <t>PB0105PB01050039669001CÔNG TY CỔ PHẦN PHÁT TRIỂN HẠ TẦNG KỸ THUẬT BECAMEX - BÌNH PHƯỚCĐường D8/N1M Trụ 20B/32/15H- NR 191D/47301053542000141112574016/09/2024110</t>
  </si>
  <si>
    <t>PB0105PB01050039668001CÔNG TY CỔ PHẦN PHÁT TRIỂN HẠ TẦNG KỸ THUẬT BECAMEX - BÌNH PHƯỚCĐường D8/N1M Trụ 20B/32/15H- NR 191D/47301053542000141112527416/09/2024110</t>
  </si>
  <si>
    <t>PB0105PB01050039647001CÔNG TY CỔ PHẦN PHÁT TRIỂN HẠ TẦNG KỸ THUẬT BECAMEX - BÌNH PHƯỚC28/06/202101053542000141116267016/09/2024110</t>
  </si>
  <si>
    <t>PB0105PB01050039646001CÔNG TY CỔ PHẦN PHÁT TRIỂN HẠ TẦNG KỸ THUẬT BECAMEX - BÌNH PHƯỚCĐường D8/N1M Trụ 20B/32/16H- NR 191D/47301053542000013119404016/09/2024110</t>
  </si>
  <si>
    <t>PB0105PB01050039645001CÔNG TY CỔ PHẦN PHÁT TRIỂN HẠ TẦNG KỸ THUẬT BECAMEX - BÌNH PHƯỚCĐường D8/N1M Trụ 20B/32/16H- NR 191D/47301053542000141122300016/09/2024110</t>
  </si>
  <si>
    <t>PB0105PB01050039641001CÔNG TY CỔ PHẦN PHÁT TRIỂN HẠ TẦNG KỸ THUẬT BECAMEX - BÌNH PHƯỚCĐường D8/N1M Trụ 20B/32/16H- NR 191D/47301053542000141122270316/09/2024110</t>
  </si>
  <si>
    <t>PB0105PB01050039640001CÔNG TY CỔ PHẦN PHÁT TRIỂN HẠ TẦNG KỸ THUẬT BECAMEX - BÌNH PHƯỚCĐường D8/N1M Trụ 20B/32/16H- NR 191D/47301053542000141116305516/09/2024110</t>
  </si>
  <si>
    <t>PB0105PB01050039639001CÔNG TY CỔ PHẦN PHÁT TRIỂN HẠ TẦNG KỸ THUẬT BECAMEX - BÌNH PHƯỚCĐường D8/N1M Trụ 20B/32/16H- NR 191D/47301053542000141105757616/09/2024110</t>
  </si>
  <si>
    <t>PB0105PB01050039667001CÔNG TY CỔ PHẦN PHÁT TRIỂN HẠ TẦNG KỸ THUẬT BECAMEX - BÌNH PHƯỚCĐường D8/N1M Trụ 20B/32/16H- NR 191D/473010535420191158364316/09/2024110</t>
  </si>
  <si>
    <t>PB0105PB01050039666001CÔNG TY CỔ PHẦN PHÁT TRIỂN HẠ TẦNG KỸ THUẬT BECAMEX - BÌNH PHƯỚCĐường D8/N1M Trụ 20B/32/16H- NR 191D/473010535420191143657816/09/2024110</t>
  </si>
  <si>
    <t>PB0105PB01050039665001CÔNG TY CỔ PHẦN PHÁT TRIỂN HẠ TẦNG KỸ THUẬT BECAMEX - BÌNH PHƯỚCĐường D8/N1M Trụ 20B/32/16H- NR 191D/473010535420191143507516/09/2024110</t>
  </si>
  <si>
    <t>PB0105PB01050039664001CÔNG TY CỔ PHẦN PHÁT TRIỂN HẠ TẦNG KỸ THUẬT BECAMEX - BÌNH PHƯỚCĐường D8/N1M Trụ 20B/32/16H- NR 191D/47301053542000141105735916/09/2024110</t>
  </si>
  <si>
    <t>PB0105PB01050039660001CÔNG TY CỔ PHẦN PHÁT TRIỂN HẠ TẦNG KỸ THUẬT BECAMEX - BÌNH PHƯỚCĐường D8/N1M Trụ 20B/32/16H- NR 191D/473010535420191143511416/09/2024110</t>
  </si>
  <si>
    <t>PB0105PB01050039662001CÔNG TY CỔ PHẦN PHÁT TRIỂN HẠ TẦNG KỸ THUẬT BECAMEX - BÌNH PHƯỚCĐường D8/N1M Trụ 20B/32/16H- NR 191D/47301053542000141105740516/09/2024110</t>
  </si>
  <si>
    <t>PB0105PB01050039637001CÔNG TY CỔ PHẦN PHÁT TRIỂN HẠ TẦNG KỸ THUẬT BECAMEX - BÌNH PHƯỚCĐường D8/N1M Trụ 20B/32/17H- NR 191D/473010535420191143511016/09/2024110</t>
  </si>
  <si>
    <t>PB0105PB01050039636001CÔNG TY CỔ PHẦN PHÁT TRIỂN HẠ TẦNG KỸ THUẬT BECAMEX - BÌNH PHƯỚCĐường D8/N1M Trụ 20B/32/17H- NR 191D/473010535420191158330216/09/2024110</t>
  </si>
  <si>
    <t>PB0105PB01050039635001CÔNG TY CỔ PHẦN PHÁT TRIỂN HẠ TẦNG KỸ THUẬT BECAMEX - BÌNH PHƯỚCĐường D8/N1M Trụ 20B/32/17H- NR 191D/473010535420191143631016/09/2024110</t>
  </si>
  <si>
    <t>PB0105PB01050039642001CÔNG TY CỔ PHẦN PHÁT TRIỂN HẠ TẦNG KỸ THUẬT BECAMEX - BÌNH PHƯỚCĐường D8/N1M Trụ 20B/32/17H- NR 191D/473010535420191143501916/09/2024110</t>
  </si>
  <si>
    <t>PB0105PB01050039633001CÔNG TY CỔ PHẦN PHÁT TRIỂN HẠ TẦNG KỸ THUẬT BECAMEX - BÌNH PHƯỚCĐường D8/N1M Trụ 20B/32/17H- NR 191D/473010535420191158279716/09/2024110</t>
  </si>
  <si>
    <t>PB0105PB01050039632001CÔNG TY CỔ PHẦN PHÁT TRIỂN HẠ TẦNG KỸ THUẬT BECAMEX - BÌNH PHƯỚCĐường D8/N1M Trụ 20B/32/17H- NR 191D/473010535420191158450016/09/2024110</t>
  </si>
  <si>
    <t>PB0105PB01050039661001CÔNG TY CỔ PHẦN PHÁT TRIỂN HẠ TẦNG KỸ THUẬT BECAMEX - BÌNH PHƯỚCĐường D8/N1M Trụ 20B/32/16H- NR 191D/473010535420191158044801/11/2024110</t>
  </si>
  <si>
    <t>PB0105PB01050039663001CÔNG TY CỔ PHẦN PHÁT TRIỂN HẠ TẦNG KỸ THUẬT BECAMEX - BÌNH PHƯỚCĐường D8/N1M Trụ 20B/32/16H- NR 191D/47301053542000141118399216/09/2024110</t>
  </si>
  <si>
    <t>PB0105PB01050039659001CÔNG TY CỔ PHẦN PHÁT TRIỂN HẠ TẦNG KỸ THUẬT BECAMEX - BÌNH PHƯỚCĐường D8/N1M Trụ 20B/32/17H- NR 191D/47301053542024120014412616/09/2024110</t>
  </si>
  <si>
    <t>PB0105PB01050039658001CÔNG TY CỔ PHẦN PHÁT TRIỂN HẠ TẦNG KỸ THUẬT BECAMEX - BÌNH PHƯỚCĐường D8/N1M Trụ 20B/32/17H- NR 191D/473010535420191158169416/09/2024110</t>
  </si>
  <si>
    <t>PB0105PB01050039657001CÔNG TY CỔ PHẦN PHÁT TRIỂN HẠ TẦNG KỸ THUẬT BECAMEX - BÌNH PHƯỚCĐường D8/N1M Trụ 20B/32/17H- NR 191D/473010535420191158146016/09/2024110</t>
  </si>
  <si>
    <t>PB0105PB01050039656001CÔNG TY CỔ PHẦN PHÁT TRIỂN HẠ TẦNG KỸ THUẬT BECAMEX - BÌNH PHƯỚCĐường D8/N1M Trụ 20B/32/17H- NR 191D/473010535420191143508016/09/2024110</t>
  </si>
  <si>
    <t>PB0105PB01050039747001CÔNG TY CỔ PHẦN PHÁT TRIỂN HẠ TẦNG KỸ THUẬT BECAMEX - BÌNH PHƯỚCĐường D8/N1M Trụ 20B/32/18H- NR 191D/473010535420191158372514/09/2024110</t>
  </si>
  <si>
    <t>PB0105PB01050039746001CÔNG TY CỔ PHẦN PHÁT TRIỂN HẠ TẦNG KỸ THUẬT BECAMEX - BÌNH PHƯỚCĐường D8/N1M Trụ 20B/32/18H- NR 191D/473010535420191158356414/09/2024110</t>
  </si>
  <si>
    <t>PB0105PB01050039745001CÔNG TY CỔ PHẦN PHÁT TRIỂN HẠ TẦNG KỸ THUẬT BECAMEX - BÌNH PHƯỚCĐường D8/N1M Trụ 20B/32/18H- NR 191D/473010535420191158296114/09/2024110</t>
  </si>
  <si>
    <t>PB0105PB01050039744001CÔNG TY CỔ PHẦN PHÁT TRIỂN HẠ TẦNG KỸ THUẬT BECAMEX - BÌNH PHƯỚCĐường D8/N1M Trụ 20B/32/18H- NR 191D/473010535420191158271414/09/2024110</t>
  </si>
  <si>
    <t>PB0105PB01050039743001CÔNG TY CỔ PHẦN PHÁT TRIỂN HẠ TẦNG KỸ THUẬT BECAMEX - BÌNH PHƯỚCĐường D8/N1M Trụ 20B/32/18H- NR 191D/473010535420191158101014/09/2024110</t>
  </si>
  <si>
    <t>PB0105PB01050039742001CÔNG TY CỔ PHẦN PHÁT TRIỂN HẠ TẦNG KỸ THUẬT BECAMEX - BÌNH PHƯỚCĐường D8/N1M Trụ 20B/32/18H- NR 191D/473010535420191143536414/09/2024110</t>
  </si>
  <si>
    <t>PB0105PB01050039586001CÔNG TY CỔ PHẦN PHÁT TRIỂN HẠ TẦNG KỸ THUẬT BECAMEX - BÌNH PHƯỚCĐường D8/N1M Trụ 20B/32/18H- NR 191D/473010535420191143550114/09/2024110</t>
  </si>
  <si>
    <t>PB0105PB01050039587001CÔNG TY CỔ PHẦN PHÁT TRIỂN HẠ TẦNG KỸ THUẬT BECAMEX - BÌNH PHƯỚCĐường D8/N1M Trụ 20B/32/18H- NR 191D/473010535420191143512814/09/2024110</t>
  </si>
  <si>
    <t>PB0105PB01050039588001CÔNG TY CỔ PHẦN PHÁT TRIỂN HẠ TẦNG KỸ THUẬT BECAMEX - BÌNH PHƯỚCĐường D8/N1M Trụ 20B/32/18H- NR 191D/473010535420191158128414/09/2024110</t>
  </si>
  <si>
    <t>PB0105PB01050039589001CÔNG TY CỔ PHẦN PHÁT TRIỂN HẠ TẦNG KỸ THUẬT BECAMEX - BÌNH PHƯỚCĐường D8/N1M Trụ 20B/32/18H- NR 191D/473010535420191158289214/09/2024110</t>
  </si>
  <si>
    <t>PB0105PB01050039728001CÔNG TY CỔ PHẦN PHÁT TRIỂN HẠ TẦNG KỸ THUẬT BECAMEX - BÌNH PHƯỚCĐường D8/N1M Trụ 20B/32/18H- NR 191D/473010535420191158449214/09/2024110</t>
  </si>
  <si>
    <t>PB0105PB01050039594001CÔNG TY CỔ PHẦN PHÁT TRIỂN HẠ TẦNG KỸ THUẬT BECAMEX - BÌNH PHƯỚCĐường D8/N1M Trụ 20B/32/18H- NR 191D/473010535420191158092914/09/2024110</t>
  </si>
  <si>
    <t>PB0105PB01050039676001CÔNG TY CỔ PHẦN PHÁT TRIỂN HẠ TẦNG KỸ THUẬT BECAMEX - BÌNH PHƯỚCĐường D8/N1M Trụ 20B/32/19H- NR 191D/473010535420191158451516/09/2024110</t>
  </si>
  <si>
    <t>PB0105PB01050039741001CÔNG TY CỔ PHẦN PHÁT TRIỂN HẠ TẦNG KỸ THUẬT BECAMEX - BÌNH PHƯỚCĐường D8/N1M Trụ 20B/32/19H- NR 191D/473010535420191158295214/09/2024110</t>
  </si>
  <si>
    <t>PB0105PB01050039740001CÔNG TY CỔ PHẦN PHÁT TRIỂN HẠ TẦNG KỸ THUẬT BECAMEX - BÌNH PHƯỚCĐường D8/N1M Trụ 20B/32/19H- NR 191D/473010535420191158298414/09/2024110</t>
  </si>
  <si>
    <t>PB0105PB01050039739001CÔNG TY CỔ PHẦN PHÁT TRIỂN HẠ TẦNG KỸ THUẬT BECAMEX - BÌNH PHƯỚCĐường D8/N1M Trụ 20B/32/19H- NR 191D/473010535420191158100614/09/2024110</t>
  </si>
  <si>
    <t>PB0105PB01050039738001CÔNG TY CỔ PHẦN PHÁT TRIỂN HẠ TẦNG KỸ THUẬT BECAMEX - BÌNH PHƯỚCĐường D8/N1M Trụ 20B/32/19H- NR 191D/473010535420191158451214/09/2024110</t>
  </si>
  <si>
    <t>PB0105PB01050039618001CÔNG TY CỔ PHẦN PHÁT TRIỂN HẠ TẦNG KỸ THUẬT BECAMEX - BÌNH PHƯỚCĐường D8/N1M Trụ 20B/32/19H- NR 191D/473010535420191143513616/09/2024110</t>
  </si>
  <si>
    <t>PB0105PB01050039595001CÔNG TY CỔ PHẦN PHÁT TRIỂN HẠ TẦNG KỸ THUẬT BECAMEX - BÌNH PHƯỚCĐường D8/N1M Trụ 20B/32/19H- NR 191D/473010535420191158029214/09/2024110</t>
  </si>
  <si>
    <t>PB0105PB01050039596001CÔNG TY CỔ PHẦN PHÁT TRIỂN HẠ TẦNG KỸ THUẬT BECAMEX - BÌNH PHƯỚCĐường D8/N1M Trụ 20B/32/19H- NR 191D/473010535420191158271514/09/2024110</t>
  </si>
  <si>
    <t>PB0105PB01050039597001CÔNG TY CỔ PHẦN PHÁT TRIỂN HẠ TẦNG KỸ THUẬT BECAMEX - BÌNH PHƯỚCĐường D8/N1M Trụ 20B/32/19H- NR 191D/473010535420191143521514/09/2024110</t>
  </si>
  <si>
    <t>PB0105PB01050039598001CÔNG TY CỔ PHẦN PHÁT TRIỂN HẠ TẦNG KỸ THUẬT BECAMEX - BÌNH PHƯỚCĐường D8/N1M Trụ 20B/32/19H- NR 191D/473010535420191158332414/09/2024110</t>
  </si>
  <si>
    <t>PB0105PB01050039729001CÔNG TY CỔ PHẦN PHÁT TRIỂN HẠ TẦNG KỸ THUẬT BECAMEX - BÌNH PHƯỚCĐường D8/N1M Trụ 20B/32/19H- NR 191D/473010535420191158364214/09/2024110</t>
  </si>
  <si>
    <t>PB0105PB01050039601001CÔNG TY CỔ PHẦN PHÁT TRIỂN HẠ TẦNG KỸ THUẬT BECAMEX - BÌNH PHƯỚCĐường D8/N1M Trụ 20B/32/19H- NR 191D/473010535420191158126714/09/2024110</t>
  </si>
  <si>
    <t>PB0105PB01050039617001CÔNG TY CỔ PHẦN PHÁT TRIỂN HẠ TẦNG KỸ THUẬT BECAMEX - BÌNH PHƯỚCĐường D8/N1M Trụ 20B/32/20H- NR 191D/473010535420191143510916/09/2024110</t>
  </si>
  <si>
    <t>PB0105PB01050039616001CÔNG TY CỔ PHẦN PHÁT TRIỂN HẠ TẦNG KỸ THUẬT BECAMEX - BÌNH PHƯỚCĐường D8/N1M Trụ 20B/32/20H- NR 191D/47301053542000142100742416/09/2024110</t>
  </si>
  <si>
    <t>PB0105PB01050039602001CÔNG TY CỔ PHẦN PHÁT TRIỂN HẠ TẦNG KỸ THUẬT BECAMEX - BÌNH PHƯỚCĐường D8/N1M Trụ 20B/32/19H- NR 191D/473010535420191158134514/09/202417</t>
  </si>
  <si>
    <t>PB0105PB01050039730001CÔNG TY CỔ PHẦN PHÁT TRIỂN HẠ TẦNG KỸ THUẬT BECAMEX - BÌNH PHƯỚCĐường D8/N1M Trụ 20B/32/20H- NR 191D/473010535420191143511714/09/2024110</t>
  </si>
  <si>
    <t>PB0105PB01050039731001CÔNG TY CỔ PHẦN PHÁT TRIỂN HẠ TẦNG KỸ THUẬT BECAMEX - BÌNH PHƯỚCĐường D8/N1M Trụ 20B/32/20H- NR 191D/473010535420191143819214/09/2024110</t>
  </si>
  <si>
    <t>PB0105PB01050039732001CÔNG TY CỔ PHẦN PHÁT TRIỂN HẠ TẦNG KỸ THUẬT BECAMEX - BÌNH PHƯỚCĐường D8/N1M Trụ 20B/32/20H- NR 191D/473010535420191158327714/09/2024110</t>
  </si>
  <si>
    <t>PB0105PB01050039733001CÔNG TY CỔ PHẦN PHÁT TRIỂN HẠ TẦNG KỸ THUẬT BECAMEX - BÌNH PHƯỚCĐường D8/N1M Trụ 20B/32/21H- NR 191D/473010535420191158327914/09/2024110</t>
  </si>
  <si>
    <t>PB0105PB01050039734001CÔNG TY CỔ PHẦN PHÁT TRIỂN HẠ TẦNG KỸ THUẬT BECAMEX - BÌNH PHƯỚCĐường D8/N1M Trụ 20B/32/21H- NR 191D/473010535420191158327814/09/2024110</t>
  </si>
  <si>
    <t>PB0105PB01050039735001CÔNG TY CỔ PHẦN PHÁT TRIỂN HẠ TẦNG KỸ THUẬT BECAMEX - BÌNH PHƯỚCĐường D8/N1M Trụ 20B/32/21H- NR 191D/473010535420191143507414/09/2024110</t>
  </si>
  <si>
    <t>PB0105PB01050039736001CÔNG TY CỔ PHẦN PHÁT TRIỂN HẠ TẦNG KỸ THUẬT BECAMEX - BÌNH PHƯỚCĐường D8/N1M Trụ 20B/32/21H- NR 191D/473010535420191157992814/09/2024110</t>
  </si>
  <si>
    <t>PB0105PB01050039737001CÔNG TY CỔ PHẦN PHÁT TRIỂN HẠ TẦNG KỸ THUẬT BECAMEX - BÌNH PHƯỚCĐường D8/N1M Trụ 20B/32/21H- NR 191D/473010535420191143664014/09/2024110</t>
  </si>
  <si>
    <t>10/10/2024110</t>
  </si>
  <si>
    <t>16/09/2024110</t>
  </si>
  <si>
    <t>1143511416</t>
  </si>
  <si>
    <t>Đường D8/N1M Trụ 20B/32/20H- NR 191D/47301053542000</t>
  </si>
  <si>
    <t>14210074</t>
  </si>
  <si>
    <t>BẢNG GỐC</t>
  </si>
  <si>
    <t>BƯỚC 1 TÁCH SỐ THỨ TỰ SỐ CĂN TỪ BẢNG GỐC RA</t>
  </si>
  <si>
    <t>TÁCH SỐ THỨ TỰ CĂN RA KHỎI CHUỖI</t>
  </si>
  <si>
    <t>Bằng cách sử dụng hàm LEFT, MID, RIGHT</t>
  </si>
  <si>
    <t>Đầu tiên gõ số 1 vào ô đầu tiên, sau đó trỏ vào ô đó, Chọn Fill ở tab HOME =&gt; Series, tăng dần thì dùng Linear, sau đó ở Step thì chọn 1, nếu muốn nhảy không liên tục thì thay đổi sang 10 chẳng hạn, và ở Stopvalue nhập 20 (Không tick Trend)</t>
  </si>
  <si>
    <t>BƯỚC NÀY SẮP XẾP THEO THỨ TỰ CHỈ ĐỊNH</t>
  </si>
  <si>
    <t>ĐẦU TIÊN CẦN CHUẨN HÓA DỮ LIỆU BẰNG CÁCH THÊM SỐ 0 VÀO TRƯỚC 1, 2,3 ĐỂ THÀNH 01 02 03 GIỐNG KIỂU</t>
  </si>
  <si>
    <t>Căn 02 AM16</t>
  </si>
  <si>
    <t>Căn 03 AM16</t>
  </si>
  <si>
    <t>Căn 04 AM16</t>
  </si>
  <si>
    <t>Căn 05 AM16</t>
  </si>
  <si>
    <t>Căn 06 AM16</t>
  </si>
  <si>
    <t>Căn 07 AM16</t>
  </si>
  <si>
    <t>Căn 08 AM16</t>
  </si>
  <si>
    <t>Căn 09 AM16</t>
  </si>
  <si>
    <t>TẠO MỘT COLUMN 82 CĂN ĐÚNG THỨ TỰ MONG MUỐN</t>
  </si>
  <si>
    <t>Quét toàn bộ =&gt; chọn Sort&amp;Filter ở tab HOME =&gt; Custom sort =&gt; chọn Column E đã tách =&gt; A to Z =&gt; chọn tùy chọn đầu tiên (as a number cuối)</t>
  </si>
  <si>
    <t>Anh Dũng</t>
  </si>
  <si>
    <t>Cây xanh (N3B-D3B)</t>
  </si>
  <si>
    <t>Cây xanh (N3B-D1B)</t>
  </si>
  <si>
    <t>Tiền điện T1</t>
  </si>
  <si>
    <t>Cách trỏ tới ô link trực tiếp không cần thủ công</t>
  </si>
  <si>
    <t>Ctrl +{/[</t>
  </si>
  <si>
    <t>Tiền điện T2</t>
  </si>
  <si>
    <t>Tiền điện T3</t>
  </si>
  <si>
    <t>Tiền điện T4</t>
  </si>
  <si>
    <t>PB01050040148</t>
  </si>
  <si>
    <t>Đèn đường N4B D3B D4B kcn khu B</t>
  </si>
  <si>
    <t>CÔNG TY CỔ PHẦN PHÁT TRIỂN HẠ TẦNG KỸ THUẬT BECAMEX - BÌNH PHƯỚC (đèn đường)</t>
  </si>
  <si>
    <t>CÔNG TY CỔ PHẦN PHÁT TRIỂN HẠ TẦNG KỸ THUẬT BECAMEX - BÌNH PHƯỚC (Chiếu sáng N11-2)</t>
  </si>
  <si>
    <t>CÔNG TY CỔ PHẦN PHÁT TRIỂN HẠ TẦNG KỸ THUẬT BECAMEX - BÌNH PHƯỚC (Chiếu sáng D1)</t>
  </si>
  <si>
    <t>CÔNG TY CỔ PHẦN PHÁT TRIỂN HẠ TẦNG KỸ THUẬT BECAMEX - BÌNH PHƯỚC (HT tưới N11-4)</t>
  </si>
  <si>
    <t>CÔNG TY CỔ PHẦN PHÁT TRIỂN HẠ TẦNG KỸ THUẬT BECAMEX - BÌNH PHƯỚC (Chiếu sáng N11-1)</t>
  </si>
  <si>
    <t>CÔNG TY CỔ PHẦN PHÁT TRIỂN HẠ TẦNG KỸ THUẬT BECAMEX - BÌNH PHƯỚC (Chiếu sáng N11-3)</t>
  </si>
  <si>
    <t>CÔNG TY CỔ PHẦN PHÁT TRIỂN HẠ TẦNG KỸ THUẬT BECAMEX - BÌNH PHƯỚC (HT tưới N11-2)</t>
  </si>
  <si>
    <t>CÔNG TY CỔ PHẦN PHÁT TRIỂN HẠ TẦNG KỸ THUẬT BECAMEX - BÌNH PHƯỚC (HT tưới N11-1)</t>
  </si>
  <si>
    <t>CÔNG TY CỔ PHẦN PHÁT TRIỂN HẠ TẦNG KỸ THUẬT BECAMEX - BÌNH PHƯỚC (Chiếu sáng N1B-1)</t>
  </si>
  <si>
    <t>CÔNG TY CỔ PHẦN PHÁT TRIỂN HẠ TẦNG KỸ THUẬT BECAMEX - BÌNH PHƯỚC (Chiếu sáng N1B-2)</t>
  </si>
  <si>
    <t>Tiền điện T5</t>
  </si>
  <si>
    <t>Ánh đóng</t>
  </si>
  <si>
    <t>Tiền điện T6</t>
  </si>
  <si>
    <t>PB01050040499</t>
  </si>
  <si>
    <t>Tiền điện T7</t>
  </si>
  <si>
    <t>PB01050041086</t>
  </si>
  <si>
    <t>PB01050041087</t>
  </si>
  <si>
    <t>PB01050041230</t>
  </si>
  <si>
    <t>PB01050041232</t>
  </si>
  <si>
    <t>PB01050041233</t>
  </si>
  <si>
    <t>PB01050041234</t>
  </si>
  <si>
    <t>PB01050041235</t>
  </si>
  <si>
    <t>PB01050041236</t>
  </si>
  <si>
    <t>PB01050041237</t>
  </si>
  <si>
    <t>PB01050041239</t>
  </si>
  <si>
    <t>PB01050041240</t>
  </si>
  <si>
    <t>PB01050041241</t>
  </si>
  <si>
    <t>PB01050041242</t>
  </si>
  <si>
    <t>PB01050041243</t>
  </si>
  <si>
    <t>PB01050041244</t>
  </si>
  <si>
    <t>PB01050041245</t>
  </si>
  <si>
    <t>PB01050041246</t>
  </si>
  <si>
    <t>PB01050041247</t>
  </si>
  <si>
    <t>PB01050041250</t>
  </si>
  <si>
    <t>PB01050041251</t>
  </si>
  <si>
    <t>PB01050041252</t>
  </si>
  <si>
    <t>PB01050041253</t>
  </si>
  <si>
    <t>PB01050041254</t>
  </si>
  <si>
    <t>PB01050041255</t>
  </si>
  <si>
    <t>PB01050041256</t>
  </si>
  <si>
    <t>PB01050041257</t>
  </si>
  <si>
    <t>PB01050041258</t>
  </si>
  <si>
    <t>PB01050041259</t>
  </si>
  <si>
    <t>PB01050041260</t>
  </si>
  <si>
    <t>PB01050041261</t>
  </si>
  <si>
    <t>PB01050041262</t>
  </si>
  <si>
    <t>PB01050041263</t>
  </si>
  <si>
    <t>PB01050041264</t>
  </si>
  <si>
    <t>PB01050041265</t>
  </si>
  <si>
    <t>PB01050041266</t>
  </si>
  <si>
    <t>PB01050041267</t>
  </si>
  <si>
    <t>PB01050041268</t>
  </si>
  <si>
    <t>PB01050041269</t>
  </si>
  <si>
    <t>Tiền điện T8</t>
  </si>
  <si>
    <t>PB01050041346</t>
  </si>
  <si>
    <t>PB01050041351</t>
  </si>
  <si>
    <t>PB01050041352</t>
  </si>
  <si>
    <t>PB01050041353</t>
  </si>
  <si>
    <t>PB01050041354</t>
  </si>
  <si>
    <t>PB01050041355</t>
  </si>
  <si>
    <t>PB01050041356</t>
  </si>
  <si>
    <t>PB01050041357</t>
  </si>
  <si>
    <t>PB01050041358</t>
  </si>
  <si>
    <t>PB01050041359</t>
  </si>
  <si>
    <t>PB01050041360</t>
  </si>
  <si>
    <t>PB01050041361</t>
  </si>
  <si>
    <t>PB01050041362</t>
  </si>
  <si>
    <t>PB01050041363</t>
  </si>
  <si>
    <t>PB01050041364</t>
  </si>
  <si>
    <t>PB01050041365</t>
  </si>
  <si>
    <t>PB01050041366</t>
  </si>
  <si>
    <t>PB01050041367</t>
  </si>
  <si>
    <t>PB01050041368</t>
  </si>
  <si>
    <t>PB01050041369</t>
  </si>
  <si>
    <t>PB01050041370</t>
  </si>
  <si>
    <t>PB01050041371</t>
  </si>
  <si>
    <t>PB01050041372</t>
  </si>
  <si>
    <t>PB01050041373</t>
  </si>
  <si>
    <t>PB01050041374</t>
  </si>
  <si>
    <t>PB01050041376</t>
  </si>
  <si>
    <t>PB01050041377</t>
  </si>
  <si>
    <t>PB01050041378</t>
  </si>
  <si>
    <t>PB01050041379</t>
  </si>
  <si>
    <t>PB01050041380</t>
  </si>
  <si>
    <t>PB01050041381</t>
  </si>
  <si>
    <t>PB01050041382</t>
  </si>
  <si>
    <t>PB01050041383</t>
  </si>
  <si>
    <t>PB01050041384</t>
  </si>
  <si>
    <t>PB01050041385</t>
  </si>
  <si>
    <t>PB01050041386</t>
  </si>
  <si>
    <t>PB01050041387</t>
  </si>
  <si>
    <t>PB01050041388</t>
  </si>
  <si>
    <t>PB01050041389</t>
  </si>
  <si>
    <t>PB01050041393</t>
  </si>
  <si>
    <t>PB01050041394</t>
  </si>
  <si>
    <t>PB01050041395</t>
  </si>
  <si>
    <t>PB01050041396</t>
  </si>
  <si>
    <t>PB01050041397</t>
  </si>
  <si>
    <t>PB01050041398</t>
  </si>
  <si>
    <t>PB01050041399</t>
  </si>
  <si>
    <t>PB01050041400</t>
  </si>
  <si>
    <t>PB01050041401</t>
  </si>
  <si>
    <t>PB01050041402</t>
  </si>
  <si>
    <t>Căn 2 lô TĐC-31</t>
  </si>
  <si>
    <t>Căn 3 lô TĐC-31</t>
  </si>
  <si>
    <t>Căn 4 lô TĐC-31</t>
  </si>
  <si>
    <t>Căn 5 lô TĐC-31</t>
  </si>
  <si>
    <t>Căn 6 lô TĐC-31</t>
  </si>
  <si>
    <t>Căn 7 lô TĐC-31</t>
  </si>
  <si>
    <t>Căn 8 lô TĐC-31</t>
  </si>
  <si>
    <t>Căn 9 lô TĐC-31</t>
  </si>
  <si>
    <t>Căn 10 lô TĐC-31</t>
  </si>
  <si>
    <t>Căn 11 lô TĐC-31</t>
  </si>
  <si>
    <t>Căn 12 lô TĐC-31</t>
  </si>
  <si>
    <t>Căn 13 lô TĐC-31</t>
  </si>
  <si>
    <t>Căn 14 lô TĐC-31</t>
  </si>
  <si>
    <t>Căn 15 lô TĐC-31</t>
  </si>
  <si>
    <t>Căn 16 lô TĐC-31</t>
  </si>
  <si>
    <t>Căn 17 lô TĐC-31</t>
  </si>
  <si>
    <t>Căn 18 lô TĐC-31</t>
  </si>
  <si>
    <t>Căn 19 lô TĐC-31</t>
  </si>
  <si>
    <t>Căn 20 lô TĐC-31</t>
  </si>
  <si>
    <t>Căn 21 lô TĐC-31</t>
  </si>
  <si>
    <t>Căn 22 lô TĐC-31</t>
  </si>
  <si>
    <t>Căn 23 lô TĐC-31</t>
  </si>
  <si>
    <t>Căn 24 lô TĐC-31</t>
  </si>
  <si>
    <t>Căn 25 lô TĐC-31</t>
  </si>
  <si>
    <t>Căn 30 lô TĐC-31</t>
  </si>
  <si>
    <t>Căn 31 lô TĐC-31</t>
  </si>
  <si>
    <t>Căn 32 lô TĐC-31</t>
  </si>
  <si>
    <t>Căn 33 lô TĐC-31</t>
  </si>
  <si>
    <t>Căn 34 lô TĐC-31</t>
  </si>
  <si>
    <t>Căn 35 lô TĐC-31</t>
  </si>
  <si>
    <t>Căn 36 lô TĐC-31</t>
  </si>
  <si>
    <t>Căn 37 lô TĐC-31</t>
  </si>
  <si>
    <t>Căn 38 lô TĐC-31</t>
  </si>
  <si>
    <t>Căn 39 lô TĐC-31</t>
  </si>
  <si>
    <t>Căn 40 lô TĐC-31</t>
  </si>
  <si>
    <t>Căn 41 lô TĐC-31</t>
  </si>
  <si>
    <t>Căn 42 lô TĐC-31</t>
  </si>
  <si>
    <t>Căn 43 lô TĐC-31</t>
  </si>
  <si>
    <t>Căn 44 lô TĐC-31</t>
  </si>
  <si>
    <t>Căn 45 lô TĐC-31</t>
  </si>
  <si>
    <t>Căn 46 lô TĐC-31</t>
  </si>
  <si>
    <t>Căn 47 lô TĐC-31</t>
  </si>
  <si>
    <t>Căn 48 lô TĐC-31</t>
  </si>
  <si>
    <t>Căn 49 lô TĐC-31</t>
  </si>
  <si>
    <t>Căn 50 lô TĐC-31</t>
  </si>
  <si>
    <t>Căn 51 lô TĐC-31</t>
  </si>
  <si>
    <t>Căn 52 lô TĐC-31</t>
  </si>
  <si>
    <t>Căn 53 lô TĐC-31</t>
  </si>
  <si>
    <t>Căn 54 lô TĐC-31</t>
  </si>
  <si>
    <t>Căn 55 lô TĐC-31</t>
  </si>
  <si>
    <t>Căn 56 lô TĐC-31</t>
  </si>
  <si>
    <t>Căn 57 lô TĐC-31</t>
  </si>
  <si>
    <t>Căn 58 lô TĐC-31</t>
  </si>
  <si>
    <t>Căn 59 lô TĐC-31</t>
  </si>
  <si>
    <t>Căn 2 lô TĐC-44</t>
  </si>
  <si>
    <t xml:space="preserve"> Căn 3 lô TĐC-44</t>
  </si>
  <si>
    <t>Căn 4 lô TĐC-44</t>
  </si>
  <si>
    <t>Căn 5 lô TĐC-44</t>
  </si>
  <si>
    <t>Căn 6 lô TĐC-44</t>
  </si>
  <si>
    <t>Căn 7 lô TĐC-44</t>
  </si>
  <si>
    <t>Căn 8 lô TĐC-44</t>
  </si>
  <si>
    <t>Căn 9 lô TĐC-44</t>
  </si>
  <si>
    <t>Căn 10 lô TĐC-44</t>
  </si>
  <si>
    <t>Căn 11 lô TĐC-44</t>
  </si>
  <si>
    <t>Căn 12 lô TĐC-44</t>
  </si>
  <si>
    <t>Căn 12A lô TĐC-44</t>
  </si>
  <si>
    <t>Căn 14 lô TĐC-44</t>
  </si>
  <si>
    <t>Căn 15 lô TĐC-44</t>
  </si>
  <si>
    <t>Căn 16 lô TĐC-44</t>
  </si>
  <si>
    <t>Căn 17 lô TĐC-44</t>
  </si>
  <si>
    <t>Căn 18 lô TĐC-44</t>
  </si>
  <si>
    <t>Căn 19 lô TĐC-44</t>
  </si>
  <si>
    <t>Căn 20 lô TĐC-44</t>
  </si>
  <si>
    <t>Căn 21 lô TĐC-44</t>
  </si>
  <si>
    <t>Căn 22 lô TĐC-44</t>
  </si>
  <si>
    <t>Căn 23 lô TĐC-44</t>
  </si>
  <si>
    <t>Căn 24 lô TĐC-44</t>
  </si>
  <si>
    <t>Căn 25 lô TĐC-44</t>
  </si>
  <si>
    <t>Căn 26 lô TĐC-44</t>
  </si>
  <si>
    <t>Căn 01 lô AM-16</t>
  </si>
  <si>
    <t>Căn 02 lô AM-16</t>
  </si>
  <si>
    <t>Căn 03 lô AM-16</t>
  </si>
  <si>
    <t>Căn 04 lô AM-16</t>
  </si>
  <si>
    <t>Căn 05 lô AM-16</t>
  </si>
  <si>
    <t>Căn 06 lô AM-16</t>
  </si>
  <si>
    <t>Căn 07 lô AM-16</t>
  </si>
  <si>
    <t>Căn 08 lô AM-16</t>
  </si>
  <si>
    <t>Căn 09 lô AM-16</t>
  </si>
  <si>
    <t>Căn 10 lô AM-16</t>
  </si>
  <si>
    <t>Căn 11 lô AM-16</t>
  </si>
  <si>
    <t>Căn 12 lô AM-16</t>
  </si>
  <si>
    <t>Căn 13 lô AM-16</t>
  </si>
  <si>
    <t>Căn 14 lô AM-16</t>
  </si>
  <si>
    <t>Căn 15 lô AM-16</t>
  </si>
  <si>
    <t>Căn 16 lô AM-16</t>
  </si>
  <si>
    <t>Căn 17 lô AM-16</t>
  </si>
  <si>
    <t>Căn 18 lô AM-16</t>
  </si>
  <si>
    <t>Căn 19 lô AM-16</t>
  </si>
  <si>
    <t>Căn 20 lô AM-16</t>
  </si>
  <si>
    <t>Căn 21 lô AM-16</t>
  </si>
  <si>
    <t>Căn 22 lô AM-16</t>
  </si>
  <si>
    <t>Căn 23 lô AM-16</t>
  </si>
  <si>
    <t>Căn 24 lô AM-16</t>
  </si>
  <si>
    <t>Căn 25 lô AM-16</t>
  </si>
  <si>
    <t>Căn 26 lô AM-16</t>
  </si>
  <si>
    <t>Căn 27 lô AM-16</t>
  </si>
  <si>
    <t>Căn 28 lô AM-16</t>
  </si>
  <si>
    <t>Căn 29 lô AM-16</t>
  </si>
  <si>
    <t>Căn 30 lô AM-16</t>
  </si>
  <si>
    <t>Căn 31 lô AM-16</t>
  </si>
  <si>
    <t>Căn 32 lô AM-16</t>
  </si>
  <si>
    <t>Căn 33 lô AM-16</t>
  </si>
  <si>
    <t>Căn 34 lô AM-16</t>
  </si>
  <si>
    <t>Căn 35 lô AM-16</t>
  </si>
  <si>
    <t>Căn 36 lô AM-16</t>
  </si>
  <si>
    <t>Căn 37 lô AM-16</t>
  </si>
  <si>
    <t>Căn 38 lô AM-16</t>
  </si>
  <si>
    <t>Căn 39 lô AM-16</t>
  </si>
  <si>
    <t>Căn 40 lô AM-16</t>
  </si>
  <si>
    <t>Căn 41 lô AM-16</t>
  </si>
  <si>
    <t>Căn 42 lô AM-16</t>
  </si>
  <si>
    <t>Căn 43 lô AM-16</t>
  </si>
  <si>
    <t>Căn 44 lô AM-16</t>
  </si>
  <si>
    <t>Căn 45 lô AM-16</t>
  </si>
  <si>
    <t>Căn 46 lô AM-16</t>
  </si>
  <si>
    <t>Căn 47 lô AM-16</t>
  </si>
  <si>
    <t>Căn 48 lô AM-16</t>
  </si>
  <si>
    <t>Căn 49 lô AM-16</t>
  </si>
  <si>
    <t>Căn 50 lô AM-16</t>
  </si>
  <si>
    <t>Căn 51 lô AM-16</t>
  </si>
  <si>
    <t>Căn 52 lô AM-16</t>
  </si>
  <si>
    <t>Căn 53 lô AM-16</t>
  </si>
  <si>
    <t>Căn 54 lô AM-16</t>
  </si>
  <si>
    <t>Căn 55 lô AM-16</t>
  </si>
  <si>
    <t>Căn 56 lô AM-16</t>
  </si>
  <si>
    <t>Căn 57 lô AM-16</t>
  </si>
  <si>
    <t>Căn 58 lô AM-16</t>
  </si>
  <si>
    <t>Căn 59 lô AM-16</t>
  </si>
  <si>
    <t>Căn 60 lô AM-16</t>
  </si>
  <si>
    <t>Căn 61 lô AM-16</t>
  </si>
  <si>
    <t>Căn 62 lô AM-16</t>
  </si>
  <si>
    <t>Căn 63 lô AM-16</t>
  </si>
  <si>
    <t>Căn 64 lô AM-16</t>
  </si>
  <si>
    <t>Căn 65 lô AM-16</t>
  </si>
  <si>
    <t>Căn 66 lô AM-16</t>
  </si>
  <si>
    <t>Căn 67 lô AM-16</t>
  </si>
  <si>
    <t>Căn 68 lô AM-16</t>
  </si>
  <si>
    <t>Căn 69 lô AM-16</t>
  </si>
  <si>
    <t>Căn 70 lô AM-16</t>
  </si>
  <si>
    <t>Căn 71 lô AM-16</t>
  </si>
  <si>
    <t>Căn 72 lô AM-16</t>
  </si>
  <si>
    <t>Căn 73 lô AM-16</t>
  </si>
  <si>
    <t>Căn 74 lô AM-16</t>
  </si>
  <si>
    <t>Căn 75 lô AM-16</t>
  </si>
  <si>
    <t>Căn 76 lô AM-16</t>
  </si>
  <si>
    <t>Căn 77 lô AM-16</t>
  </si>
  <si>
    <t>Căn 78 lô AM-16</t>
  </si>
  <si>
    <t>Căn 79 lô AM-16</t>
  </si>
  <si>
    <t>Căn 80 lô AM-16</t>
  </si>
  <si>
    <t>Căn 81 lô AM-16</t>
  </si>
  <si>
    <t>Căn 82 lô AM-16</t>
  </si>
  <si>
    <t>Căn 07 lô TĐC-59</t>
  </si>
  <si>
    <t>Căn 72 lô AM-15</t>
  </si>
  <si>
    <t>Căn 73 lô AM-15</t>
  </si>
  <si>
    <t>Căn 85 lô TĐC-19</t>
  </si>
  <si>
    <t>Căn 70 lô TĐC-19</t>
  </si>
  <si>
    <t>Căn 71 lô TĐC-19</t>
  </si>
  <si>
    <t>Căn 95 lô TĐC-19</t>
  </si>
  <si>
    <t>Căn 102 lô TĐC-19</t>
  </si>
  <si>
    <t>Căn 96 lô TĐC-19</t>
  </si>
  <si>
    <t>Căn 75 lô TĐC-19</t>
  </si>
  <si>
    <t>Căn 90 lô TĐC-19</t>
  </si>
  <si>
    <t>Căn 91 lô TĐC-19</t>
  </si>
  <si>
    <t>Căn 72 lô TĐC-19</t>
  </si>
  <si>
    <t>Căn 80 lô TĐC-19</t>
  </si>
  <si>
    <t>Căn 103 lô TĐC-19</t>
  </si>
  <si>
    <t>Căn 97 lô TĐC-19</t>
  </si>
  <si>
    <t>Căn 98 lô TĐC-19</t>
  </si>
  <si>
    <t>Căn 73 lô TĐC-19</t>
  </si>
  <si>
    <t>Căn 100 lô TĐC-19</t>
  </si>
  <si>
    <t>Căn 86 lô TĐC-19</t>
  </si>
  <si>
    <t>Căn 76 lô TĐC-19</t>
  </si>
  <si>
    <t>Căn 81 lô TĐC-19</t>
  </si>
  <si>
    <t>Căn 104 lô TĐC-19</t>
  </si>
  <si>
    <t>Căn 84 lô TĐC-19</t>
  </si>
  <si>
    <t>Căn 87 lô TĐC-19</t>
  </si>
  <si>
    <t>Căn 105 lô TĐC-19</t>
  </si>
  <si>
    <t>Căn 92 lô TĐC-19</t>
  </si>
  <si>
    <t>Căn 77 lô TĐC-19</t>
  </si>
  <si>
    <t>Căn 101 lô TĐC-19</t>
  </si>
  <si>
    <t>Căn 93 lô TĐC-19</t>
  </si>
  <si>
    <t>Căn 74 lô TĐC-19</t>
  </si>
  <si>
    <t>Căn 82 lô TĐC-19</t>
  </si>
  <si>
    <t>Căn 94 lô TĐC-19</t>
  </si>
  <si>
    <t>Căn 88 lô TĐC-19</t>
  </si>
  <si>
    <t>Căn 99 lô TĐC-19</t>
  </si>
  <si>
    <t>Căn 83 lô TĐC-19</t>
  </si>
  <si>
    <t>Căn 79 lô TĐC-19</t>
  </si>
  <si>
    <t>Căn 78 lô TĐC-19</t>
  </si>
  <si>
    <t>Căn 89 lô TĐC-19</t>
  </si>
  <si>
    <t>Căn 01 lô TĐC-43</t>
  </si>
  <si>
    <t>Căn 02 lô TĐC-43</t>
  </si>
  <si>
    <t>Căn 03 lô TĐC-43</t>
  </si>
  <si>
    <t>Căn 04 lô TĐC-43</t>
  </si>
  <si>
    <t>Căn 05 lô TĐC-43</t>
  </si>
  <si>
    <t>Căn 06 lô TĐC-43</t>
  </si>
  <si>
    <t>Căn 07 lô TĐC-43</t>
  </si>
  <si>
    <t>Căn 08 lô TĐC-43</t>
  </si>
  <si>
    <t>Căn 09 lô TĐC-43</t>
  </si>
  <si>
    <t>Căn 10 lô TĐC-43</t>
  </si>
  <si>
    <t>Căn 11 lô TĐC-43</t>
  </si>
  <si>
    <t>Căn 12 lô TĐC-43</t>
  </si>
  <si>
    <t>Căn 13 lô TĐC-43</t>
  </si>
  <si>
    <t>Căn 14 lô TĐC-43</t>
  </si>
  <si>
    <t>Căn 15 lô TĐC-43</t>
  </si>
  <si>
    <t>Căn 16 lô TĐC-43</t>
  </si>
  <si>
    <t>Căn 17 lô TĐC-43</t>
  </si>
  <si>
    <t>Căn 18 lô TĐC-43</t>
  </si>
  <si>
    <t>Căn 19 lô TĐC-43</t>
  </si>
  <si>
    <t>Căn 20 lô TĐC-43</t>
  </si>
  <si>
    <t>Căn 21 lô TĐC-43</t>
  </si>
  <si>
    <t>Căn 22 lô TĐC-43</t>
  </si>
  <si>
    <t>Căn 23 lô TĐC-43</t>
  </si>
  <si>
    <t>Căn 25 lô TĐC-43</t>
  </si>
  <si>
    <t>Căn 24 lô TĐC-43</t>
  </si>
  <si>
    <t>Căn 27 lô TĐC-43</t>
  </si>
  <si>
    <t>Căn 26 lô TĐC-43</t>
  </si>
  <si>
    <t>Căn 01 lô TĐC-32</t>
  </si>
  <si>
    <t>Căn 02 lô TĐC-32</t>
  </si>
  <si>
    <t>Căn 03 lô TĐC-32</t>
  </si>
  <si>
    <t>Căn 04 lô TĐC-32</t>
  </si>
  <si>
    <t>Căn 05 lô TĐC-32</t>
  </si>
  <si>
    <t>Căn 06 lô TĐC-32</t>
  </si>
  <si>
    <t>Căn 07 lô TĐC-32</t>
  </si>
  <si>
    <t>Căn 08 lô TĐC-32</t>
  </si>
  <si>
    <t>Căn 09 lô TĐC-32</t>
  </si>
  <si>
    <t>Căn 10 lô TĐC-32</t>
  </si>
  <si>
    <t>Căn 11 lô TĐC-32</t>
  </si>
  <si>
    <t>Căn 12 lô TĐC-32</t>
  </si>
  <si>
    <t>Căn 14 lô TĐC-32</t>
  </si>
  <si>
    <t>Căn 15 lô TĐC-32</t>
  </si>
  <si>
    <t>Căn 16 lô TĐC-32</t>
  </si>
  <si>
    <t>Căn 17 lô TĐC-32</t>
  </si>
  <si>
    <t>Căn 18 lô TĐC-32</t>
  </si>
  <si>
    <t>Căn 19 lô TĐC-32</t>
  </si>
  <si>
    <t>Căn 20 lô TĐC-32</t>
  </si>
  <si>
    <t>Căn 21 lô TĐC-32</t>
  </si>
  <si>
    <t>Căn 22 lô TĐC-32</t>
  </si>
  <si>
    <t>Căn 12A lô TĐC-32</t>
  </si>
  <si>
    <t>Căn 2 TDC-32</t>
  </si>
  <si>
    <t>Căn 1 TDC-32</t>
  </si>
  <si>
    <t>Đèn đường D1B (D1B-N4B)</t>
  </si>
  <si>
    <t>Bộ đàm (Đã thanh lý HĐ)</t>
  </si>
  <si>
    <t>Giao CP thuê</t>
  </si>
  <si>
    <t>Tiền điện T9</t>
  </si>
  <si>
    <t>Đã thanh lý</t>
  </si>
  <si>
    <t>Chiếu sáng N1B-1</t>
  </si>
  <si>
    <t>Chiếu sáng N1B-2</t>
  </si>
  <si>
    <t>Chiếu sáng D3B (từ N3B đến đối diện cty)</t>
  </si>
  <si>
    <t>PB01050041642</t>
  </si>
  <si>
    <t>PB01050041643</t>
  </si>
  <si>
    <t>PB01050041644</t>
  </si>
  <si>
    <t>PB01050041645</t>
  </si>
  <si>
    <t>PB01050041646</t>
  </si>
  <si>
    <t>PB01050041647</t>
  </si>
  <si>
    <t>PB01050041648</t>
  </si>
  <si>
    <t>PB01050041649</t>
  </si>
  <si>
    <t>PB01050041650</t>
  </si>
  <si>
    <t>PB01050041651</t>
  </si>
  <si>
    <t>PB01050041652</t>
  </si>
  <si>
    <t>TCS 2 đường N12B</t>
  </si>
  <si>
    <t>TCS 3 đường N12B</t>
  </si>
  <si>
    <t>TCS 6 đường N12B</t>
  </si>
  <si>
    <t>TCS 2 nút giao N2B-D1B</t>
  </si>
  <si>
    <t>TCS 14.2 nút giao D1-D1B</t>
  </si>
  <si>
    <t>TCS 15 nút giao N11-D1B</t>
  </si>
  <si>
    <t>TCS 13 nút giao N6-D5B</t>
  </si>
  <si>
    <t>TCS 17 nút giao N2B-D5B</t>
  </si>
  <si>
    <t>Đèn đường D7.1 (N1M-N3M)</t>
  </si>
  <si>
    <t>Đèn đường D7.2 (N9-N4M)</t>
  </si>
  <si>
    <t>TCS 1 giữa N13B - N14B</t>
  </si>
  <si>
    <t>Gộp mã</t>
  </si>
  <si>
    <t>T10</t>
  </si>
  <si>
    <t>0707966066</t>
  </si>
  <si>
    <t>Căn 80 lô AM-15</t>
  </si>
  <si>
    <t>MA_DVIQLY</t>
  </si>
  <si>
    <t>MA_YCAU_KNAI</t>
  </si>
  <si>
    <t>MA_KHANG</t>
  </si>
  <si>
    <t>MA_DDO</t>
  </si>
  <si>
    <t>TEN_KHANG</t>
  </si>
  <si>
    <t>DIA_CHI_KH</t>
  </si>
  <si>
    <t>DIA_CHI_DDO</t>
  </si>
  <si>
    <t>MA_HDONG</t>
  </si>
  <si>
    <t>MA_TRAM</t>
  </si>
  <si>
    <t>HLUC_TUNGAY</t>
  </si>
  <si>
    <t>HLUC_DENNGAY</t>
  </si>
  <si>
    <t>EMAIL</t>
  </si>
  <si>
    <t>MASO_THUE</t>
  </si>
  <si>
    <t>NGAY_SINH</t>
  </si>
  <si>
    <t>DTHOAI</t>
  </si>
  <si>
    <t>TEN_DDIEN</t>
  </si>
  <si>
    <t>SO_CMT</t>
  </si>
  <si>
    <t>NGAY_CAP</t>
  </si>
  <si>
    <t>NOI_CAP</t>
  </si>
  <si>
    <t>SOGIAY_UQUYEN</t>
  </si>
  <si>
    <t>TEN_UQUYEN</t>
  </si>
  <si>
    <t>NGAY_UQUYEN</t>
  </si>
  <si>
    <t>GIAY_KDOANH</t>
  </si>
  <si>
    <t>DVI_CAP_KDOANH</t>
  </si>
  <si>
    <t>NGAY_CAP_KDOANH</t>
  </si>
  <si>
    <t>PB0105</t>
  </si>
  <si>
    <t>PB01050039349001</t>
  </si>
  <si>
    <t>Quốc lộ 14, Tổ 8, Khu phố 3, Phường Chơn Thành, Tỉnh Đồng Nai, Việt Nam (TDC44-07)</t>
  </si>
  <si>
    <t>010533902</t>
  </si>
  <si>
    <t>info@becamexbinhphuoc.com.vn</t>
  </si>
  <si>
    <t>3800405138</t>
  </si>
  <si>
    <t>Nguyễn Văn Dũng</t>
  </si>
  <si>
    <t>074076005531</t>
  </si>
  <si>
    <t>Cục Cảnh sát quản lý hành chính về trật tự xã hội</t>
  </si>
  <si>
    <t>03/GUQ-BBP</t>
  </si>
  <si>
    <t>Đặng Văn Dũng</t>
  </si>
  <si>
    <t>Sở tài chính tỉnh Đồng Nai - Phòng Đăng ký kinh doanh</t>
  </si>
  <si>
    <t>PB01050039615001</t>
  </si>
  <si>
    <t>Quốc lộ 14, tổ 8, Khu phố 3, Phường Chơn Thành, Tỉnh Đồng Nai, Việt Nam (AM16-46)</t>
  </si>
  <si>
    <t>70697124001497</t>
  </si>
  <si>
    <t>010535420</t>
  </si>
  <si>
    <t>PB01050039598001</t>
  </si>
  <si>
    <t>Quốc lộ 14, tổ 8, Khu phố 3, Phường Chơn Thành, Tỉnh Đồng Nai, Việt Nam (AM16-30)</t>
  </si>
  <si>
    <t>70697124001480</t>
  </si>
  <si>
    <t>PB01050039744001</t>
  </si>
  <si>
    <t>Quốc lộ 14, tổ 8, Khu phố 3, Phường Chơn Thành, Tỉnh Đồng Nai, Việt Nam (AM16-65)</t>
  </si>
  <si>
    <t>70697124001682</t>
  </si>
  <si>
    <t>PB01050039616001</t>
  </si>
  <si>
    <t>Quốc lộ 14, tổ 8, Khu phố 3, Phường Chơn Thành, Tỉnh Đồng Nai, Việt Nam (AM16-75)</t>
  </si>
  <si>
    <t>70697124001498</t>
  </si>
  <si>
    <t>PB01050037406001</t>
  </si>
  <si>
    <t>Quốc lộ 14, Tổ 8, Khu phố 3, Phường Chơn Thành, Tỉnh Đồng Nai, Việt Nam</t>
  </si>
  <si>
    <t>70697123001113</t>
  </si>
  <si>
    <t>010533905</t>
  </si>
  <si>
    <t>PB01050032166</t>
  </si>
  <si>
    <t>PB01050032166001</t>
  </si>
  <si>
    <t>CÔNG TY CỔ PHẦN PHÁT TRIỂN HẠ TẦNG KỸ THUẬT BECAMEX-BÌNH PHƯỚC</t>
  </si>
  <si>
    <t>70697124002230</t>
  </si>
  <si>
    <t>010533912</t>
  </si>
  <si>
    <t>PB01050039618001</t>
  </si>
  <si>
    <t>Quốc lộ 14, tổ 8, Khu phố 3, Phường Chơn Thành, Tỉnh Đồng Nai, Việt Nam (AM16-73)</t>
  </si>
  <si>
    <t>70697124001500</t>
  </si>
  <si>
    <t>PB01050039640001</t>
  </si>
  <si>
    <t>Quốc lộ 14, tổ 8, Khu phố 3, Phường Chơn Thành, Tỉnh Đồng Nai, Việt Nam (AM16-54)</t>
  </si>
  <si>
    <t>70697124001522</t>
  </si>
  <si>
    <t>PB01050032160</t>
  </si>
  <si>
    <t>PB01050032160001</t>
  </si>
  <si>
    <t>70697124002229</t>
  </si>
  <si>
    <t>PB01050039668001</t>
  </si>
  <si>
    <t>Quốc lộ 14, Tổ 8, Khu phố 3, Phường Chơn Thành, Tỉnh Đồng Nai, Việt Nam (AM16-08)</t>
  </si>
  <si>
    <t>70697124001553</t>
  </si>
  <si>
    <t>PB01050030037</t>
  </si>
  <si>
    <t>PB01050030037001</t>
  </si>
  <si>
    <t>70697124002214</t>
  </si>
  <si>
    <t>PB01050039348001</t>
  </si>
  <si>
    <t>Quốc lộ 14, Tổ 8, Khu phố 3, Phường Chơn Thành, Tỉnh Đồng Nai, Việt Nam (TDC44-05)</t>
  </si>
  <si>
    <t>PB01050039595001</t>
  </si>
  <si>
    <t>Quốc lộ 14, Tổ 8, Khu phố 3, Phường Chơn Thành, Tỉnh Đồng Nai, Việt Nam (AM16-27)</t>
  </si>
  <si>
    <t>70697124001477</t>
  </si>
  <si>
    <t>PB01050032165</t>
  </si>
  <si>
    <t>PB01050032165001</t>
  </si>
  <si>
    <t>70697124002223</t>
  </si>
  <si>
    <t>PB01050039636001</t>
  </si>
  <si>
    <t>Quốc lộ 14, tổ 8, Khu phố 3, Phường Chơn Thành, Tỉnh Đồng Nai, Việt Nam (AM16-57)</t>
  </si>
  <si>
    <t>70697124001518</t>
  </si>
  <si>
    <t>PB01050034155001</t>
  </si>
  <si>
    <t>CÔNG TY CP PHÁT TRIỂN HẠ TẦNG KỸ THUẬT BECAMEX - BÌNH PHƯỚC (23)</t>
  </si>
  <si>
    <t>Quốc lộ 14, Tổ 8, Khu phố 3, Phường Chơn Thành, Tỉnh Đồng Nai, Việt Nam (TDC31-23)</t>
  </si>
  <si>
    <t>70697121001397</t>
  </si>
  <si>
    <t>PB01050039729001</t>
  </si>
  <si>
    <t>Quốc lộ 14, tổ 8, Khu phố 3, Phường Chơn Thành, Tỉnh Đồng Nai, Việt Nam (AM16-31)</t>
  </si>
  <si>
    <t>70697124001660</t>
  </si>
  <si>
    <t>PB01050037390001</t>
  </si>
  <si>
    <t>70697123001091</t>
  </si>
  <si>
    <t>PB01050039667001</t>
  </si>
  <si>
    <t>Quốc lộ 14, Tổ 8, Khu phố 3, Phường Chơn Thành, Tỉnh Đồng Nai, Việt Nam (AM16-09)</t>
  </si>
  <si>
    <t>70697124001552</t>
  </si>
  <si>
    <t>PB01050034154001</t>
  </si>
  <si>
    <t>CÔNG TY CP PHÁT TRIỂN HẠ TẦNG KỸ THUẬT BECAMEX - BÌNH PHƯỚC (22)</t>
  </si>
  <si>
    <t>Quốc lộ 14, Tổ 8, Khu phố 3, Phường Chơn Thành, Tỉnh Đồng Nai, Việt Nam (TDC31-22)</t>
  </si>
  <si>
    <t>70697121001396</t>
  </si>
  <si>
    <t>PB01050030040</t>
  </si>
  <si>
    <t>PB01050030040001</t>
  </si>
  <si>
    <t>70697124002217</t>
  </si>
  <si>
    <t>PB01050037405001</t>
  </si>
  <si>
    <t>70697123001112</t>
  </si>
  <si>
    <t>PB01050039633001</t>
  </si>
  <si>
    <t>Quốc lộ 14, tổ 8, Khu phố 3, Phường Chơn Thành, Tỉnh Đồng Nai, Việt Nam (AM16-60)</t>
  </si>
  <si>
    <t>70697124001515</t>
  </si>
  <si>
    <t>PB01050034116001</t>
  </si>
  <si>
    <t>CÔNG TY CP PHÁT TRIỂN HẠ TẦNG KỸ THUẬT BECAMEX - BÌNH PHƯỚC (5)</t>
  </si>
  <si>
    <t>Quốc lộ 14, Tổ 8, Khu phố 3, Phường Chơn Thành, Tỉnh Đồng Nai, Việt Nam (TDC31-05)</t>
  </si>
  <si>
    <t>70697121001368</t>
  </si>
  <si>
    <t>PB01050039659001</t>
  </si>
  <si>
    <t>Quốc lộ 14, Tổ 8, Khu phố 3, Phường Chơn Thành, Tỉnh Đồng Nai, Việt Nam (AM16-17)</t>
  </si>
  <si>
    <t>70697124001544</t>
  </si>
  <si>
    <t>PB01050039674001</t>
  </si>
  <si>
    <t>Quốc lộ 14, Tổ 8, Khu phố 3, Phường Chơn Thành, Tỉnh Đồng Nai, Việt Nam (AM16-02)</t>
  </si>
  <si>
    <t>70697124001559</t>
  </si>
  <si>
    <t>PB01050037417001</t>
  </si>
  <si>
    <t>70697123001125</t>
  </si>
  <si>
    <t>PB01050039743001</t>
  </si>
  <si>
    <t>Quốc lộ 14, tổ 8, Khu phố 3, Phường Chơn Thành, Tỉnh Đồng Nai, Việt Nam (AM16-66)</t>
  </si>
  <si>
    <t>70697124001681</t>
  </si>
  <si>
    <t>PB01050038191001</t>
  </si>
  <si>
    <t>Quốc lộ 14, Tổ 8, Khu phố 3, Phường Chơn Thành, Tỉnh Đồng Nai, Việt Nam (AM15-80)</t>
  </si>
  <si>
    <t>70697123002023</t>
  </si>
  <si>
    <t>PB01050039732001</t>
  </si>
  <si>
    <t>Quốc lộ 14, tổ 8, Khu phố 3, Phường Chơn Thành, Tỉnh Đồng Nai, Việt Nam (AM16-36)</t>
  </si>
  <si>
    <t>70697124001663</t>
  </si>
  <si>
    <t>PB01050039676001</t>
  </si>
  <si>
    <t>Quốc lộ 14, tổ 8, Khu phố 3, Phường Chơn Thành, Tỉnh Đồng Nai, Việt Nam (AM16-71)</t>
  </si>
  <si>
    <t>70697124001565</t>
  </si>
  <si>
    <t>PB01050039740001</t>
  </si>
  <si>
    <t>Quốc lộ 14, tổ 8, Khu phố 3, Phường Chơn Thành, Tỉnh Đồng Nai, Việt Nam (AM16-69)</t>
  </si>
  <si>
    <t>70697124001675</t>
  </si>
  <si>
    <t>PB01050037415001</t>
  </si>
  <si>
    <t>70697123001123</t>
  </si>
  <si>
    <t>PB01050037397001</t>
  </si>
  <si>
    <t>70697123001099</t>
  </si>
  <si>
    <t>PB01050039664001</t>
  </si>
  <si>
    <t>Quốc lộ 14, Tổ 8, Khu phố 3, Phường Chơn Thành, Tỉnh Đồng Nai, Việt Nam (AM16-12)</t>
  </si>
  <si>
    <t>70697124001549</t>
  </si>
  <si>
    <t>PB01050039735001</t>
  </si>
  <si>
    <t>Quốc lộ 14, tổ 8, Khu phố 3, Phường Chơn Thành, Tỉnh Đồng Nai, Việt Nam (AM16-39)</t>
  </si>
  <si>
    <t>70697124001668</t>
  </si>
  <si>
    <t>PB01050034120001</t>
  </si>
  <si>
    <t>CÔNG TY CP PHÁT TRIỂN HẠ TẦNG KỸ THUẬT BECAMEX - BÌNH PHƯỚC (9)</t>
  </si>
  <si>
    <t>Quốc lộ 14, Tổ 8, Khu phố 3, Phường Chơn Thành, Tỉnh Đồng Nai, Việt Nam (TDC31-09)</t>
  </si>
  <si>
    <t>70697121001371</t>
  </si>
  <si>
    <t>PB01050039670001</t>
  </si>
  <si>
    <t>Quốc lộ 14, Tổ 8, Khu phố 3, Phường Chơn Thành, Tỉnh Đồng Nai, Việt Nam (AM16-06)</t>
  </si>
  <si>
    <t>70697124001555</t>
  </si>
  <si>
    <t>PB01050037410001</t>
  </si>
  <si>
    <t>70697123001118</t>
  </si>
  <si>
    <t>PB01050037399001</t>
  </si>
  <si>
    <t>70697123001101</t>
  </si>
  <si>
    <t>PB01050039637001</t>
  </si>
  <si>
    <t>Quốc lộ 14, tổ 8, Khu phố 3, Phường Chơn Thành, Tỉnh Đồng Nai, Việt Nam (AM16-56)</t>
  </si>
  <si>
    <t>70697124001519</t>
  </si>
  <si>
    <t>PB01050032174</t>
  </si>
  <si>
    <t>PB01050032174001</t>
  </si>
  <si>
    <t>70697124002220</t>
  </si>
  <si>
    <t>PB01050039355001</t>
  </si>
  <si>
    <t>Quốc lộ 14, Tổ 8, Khu phố 3, Phường Chơn Thành, Tỉnh Đồng Nai, Việt Nam (TDC44-12A)</t>
  </si>
  <si>
    <t>PB01050030031</t>
  </si>
  <si>
    <t>PB01050030031001</t>
  </si>
  <si>
    <t>70697124002215</t>
  </si>
  <si>
    <t>PB01050039356001</t>
  </si>
  <si>
    <t>Quốc lộ 14, Tổ 8, Khu phố 3, Phường Chơn Thành, Tỉnh Đồng Nai, Việt Nam (TDC44-14)</t>
  </si>
  <si>
    <t>PB01050039353001</t>
  </si>
  <si>
    <t>Quốc lộ 14, Tổ 8, Khu phố 3, Phường Chơn Thành, Tỉnh Đồng Nai, Việt Nam (TDC44-11)</t>
  </si>
  <si>
    <t>PB01050039361001</t>
  </si>
  <si>
    <t>Quốc lộ 14, Tổ 8, Khu phố 3, Phường Chơn Thành, Tỉnh Đồng Nai, Việt Nam (TDC44-20)</t>
  </si>
  <si>
    <t>PB01050037412001</t>
  </si>
  <si>
    <t>70697123001120</t>
  </si>
  <si>
    <t>PB01050039647001</t>
  </si>
  <si>
    <t>Quốc lộ 14, tổ 8, Khu phố 3, Phường Chơn Thành, Tỉnh Đồng Nai, Việt Nam (AM16-50)</t>
  </si>
  <si>
    <t>70697124001531</t>
  </si>
  <si>
    <t>PB01050032163</t>
  </si>
  <si>
    <t>PB01050032163001</t>
  </si>
  <si>
    <t>70697124002225</t>
  </si>
  <si>
    <t>PB01050039345001</t>
  </si>
  <si>
    <t>Quốc lộ 14, Tổ 8, Khu phố 3, Phường Chơn Thành, Tỉnh Đồng Nai, Việt Nam (TDC44-03)</t>
  </si>
  <si>
    <t>PB01050039586001</t>
  </si>
  <si>
    <t>Quốc lộ 14, Tổ 8, Khu phố 3, Phường Chơn Thành, Tỉnh Đồng Nai, Việt Nam (AM16-21)</t>
  </si>
  <si>
    <t>70697124001468</t>
  </si>
  <si>
    <t>PB01050039736001</t>
  </si>
  <si>
    <t>Quốc lộ 14, tổ 8, Khu phố 3, Phường Chơn Thành, Tỉnh Đồng Nai, Việt Nam (AM16-40)</t>
  </si>
  <si>
    <t>70697124001669</t>
  </si>
  <si>
    <t>PB01050039639001</t>
  </si>
  <si>
    <t>Quốc lộ 14, tổ 8, Khu phố 3, Phường Chơn Thành, Tỉnh Đồng Nai, Việt Nam (AM16-55)</t>
  </si>
  <si>
    <t>70697124001521</t>
  </si>
  <si>
    <t>PB01050032162</t>
  </si>
  <si>
    <t>PB01050032162001</t>
  </si>
  <si>
    <t>70697124002226</t>
  </si>
  <si>
    <t>PB01050039597001</t>
  </si>
  <si>
    <t>Quốc lộ 14, tổ 8, Khu phố 3, Phường Chơn Thành, Tỉnh Đồng Nai, Việt Nam (AM16-29)</t>
  </si>
  <si>
    <t>70697124001479</t>
  </si>
  <si>
    <t>PB01050039645001</t>
  </si>
  <si>
    <t>Quốc lộ 14, tổ 8, Khu phố 3, Phường Chơn Thành, Tỉnh Đồng Nai, Việt Nam (AM16-52)</t>
  </si>
  <si>
    <t>70697124001529</t>
  </si>
  <si>
    <t>PB01050039731001</t>
  </si>
  <si>
    <t>Quốc lộ 14, tổ 8, Khu phố 3, Phường Chơn Thành, Tỉnh Đồng Nai, Việt Nam (AM16-35)</t>
  </si>
  <si>
    <t>70697124001662</t>
  </si>
  <si>
    <t>PB01050039360001</t>
  </si>
  <si>
    <t>Quốc lộ 14, Tổ 8, Khu phố 3, Phường Chơn Thành, Tỉnh Đồng Nai, Việt Nam (TDC44-17)</t>
  </si>
  <si>
    <t>PB01050039665001</t>
  </si>
  <si>
    <t>Quốc lộ 14, Tổ 8, Khu phố 3, Phường Chơn Thành, Tỉnh Đồng Nai, Việt Nam (AM16-11)</t>
  </si>
  <si>
    <t>70697124001550</t>
  </si>
  <si>
    <t>PB01050039354001</t>
  </si>
  <si>
    <t>Quốc lộ 14, Tổ 8, Khu phố 3, Phường Chơn Thành, Tỉnh Đồng Nai, Việt Nam (TDC44-12)</t>
  </si>
  <si>
    <t>PB01050033634001</t>
  </si>
  <si>
    <t>CÔNG TY CỔ PHẦN PHÁT TRIỂN HẠ TẦNG KỸ THUẬT BECAMEX- BÌNH PHƯỚC</t>
  </si>
  <si>
    <t>70697121000848</t>
  </si>
  <si>
    <t>010533940</t>
  </si>
  <si>
    <t>PB01050039728001</t>
  </si>
  <si>
    <t>Quốc lộ 14, Tổ 8, Khu phố 3, Phường Chơn Thành, Tỉnh Đồng Nai, Việt Nam (AM16-25)</t>
  </si>
  <si>
    <t>70697124001658</t>
  </si>
  <si>
    <t>PB01050030035</t>
  </si>
  <si>
    <t>PB01050030035001</t>
  </si>
  <si>
    <t>70697124002228</t>
  </si>
  <si>
    <t>PB01050039104001</t>
  </si>
  <si>
    <t>Quốc lộ 14, tổ 8, Khu phố 3, Phường Chơn Thành, Tỉnh Đồng Nai, Việt Nam (AM16-77)</t>
  </si>
  <si>
    <t>PB01050039654001</t>
  </si>
  <si>
    <t>Quốc lộ 14, tổ 8, Khu phố 3, Phường Chơn Thành, Tỉnh Đồng Nai, Việt Nam (AM16-42)</t>
  </si>
  <si>
    <t>70697124001538</t>
  </si>
  <si>
    <t>PB01050034148001</t>
  </si>
  <si>
    <t>CÔNG TY CP PHÁT TRIỂN HẠ TẦNG KỸ THUẬT BECAMEX - BÌNH PHƯỚC (16)</t>
  </si>
  <si>
    <t>Quốc lộ 14, Tổ 8, Khu phố 3, Phường Chơn Thành, Tỉnh Đồng Nai, Việt Nam (TDC31-16)</t>
  </si>
  <si>
    <t>70697121001390</t>
  </si>
  <si>
    <t>PB01050037414001</t>
  </si>
  <si>
    <t>70697123001122</t>
  </si>
  <si>
    <t>PB01050039589001</t>
  </si>
  <si>
    <t>Quốc lộ 14, Tổ 8, Khu phố 3, Phường Chơn Thành, Tỉnh Đồng Nai, Việt Nam (AM16-24)</t>
  </si>
  <si>
    <t>70697124001471</t>
  </si>
  <si>
    <t>PB01050039632001</t>
  </si>
  <si>
    <t>Quốc lộ 14, tổ 8, Khu phố 3, Phường Chơn Thành, Tỉnh Đồng Nai, Việt Nam (AM16-61)</t>
  </si>
  <si>
    <t>70697124001514</t>
  </si>
  <si>
    <t>PB01050039357001</t>
  </si>
  <si>
    <t>Quốc lộ 14, Tổ 8, Khu phố 3, Phường Chơn Thành, Tỉnh Đồng Nai, Việt Nam (TDC44-15)</t>
  </si>
  <si>
    <t>PB01050039602001</t>
  </si>
  <si>
    <t>Quốc lộ 14, tổ 8, Khu phố 3, Phường Chơn Thành, Tỉnh Đồng Nai, Việt Nam (AM16-33)</t>
  </si>
  <si>
    <t>70697124001484</t>
  </si>
  <si>
    <t>PB01050039672001</t>
  </si>
  <si>
    <t>Quốc lộ 14, Tổ 8, Khu phố 3, Phường Chơn Thành, Tỉnh Đồng Nai, Việt Nam (AM16-04)</t>
  </si>
  <si>
    <t>70697124001557</t>
  </si>
  <si>
    <t>PB01050039596001</t>
  </si>
  <si>
    <t>Quốc lộ 14, Tổ 8, Khu phố 3, Phường Chơn Thành, Tỉnh Đồng Nai, Việt Nam (AM16-28)</t>
  </si>
  <si>
    <t>70697124001478</t>
  </si>
  <si>
    <t>PB01050030038</t>
  </si>
  <si>
    <t>PB01050030038001</t>
  </si>
  <si>
    <t>70697124002216</t>
  </si>
  <si>
    <t>PB01050030033</t>
  </si>
  <si>
    <t>PB01050030033001</t>
  </si>
  <si>
    <t>70697124002211</t>
  </si>
  <si>
    <t>PB01050034153001</t>
  </si>
  <si>
    <t>CÔNG TY CP PHÁT TRIỂN HẠ TẦNG KỸ THUẬT BECAMEX - BÌNH PHƯỚC (21)</t>
  </si>
  <si>
    <t>Quốc lộ 14, Tổ 8, Khu phố 3, Phường Chơn Thành, Tỉnh Đồng Nai, Việt Nam (TDC31-21)</t>
  </si>
  <si>
    <t>70697121001395</t>
  </si>
  <si>
    <t>PB01050039346001</t>
  </si>
  <si>
    <t>Quốc lộ 14, Tổ 8, Khu phố 3, Phường Chơn Thành, Tỉnh Đồng Nai, Việt Nam (TDC44-04)</t>
  </si>
  <si>
    <t>PB01050039601001</t>
  </si>
  <si>
    <t>Quốc lộ 14, tổ 8, Khu phố 3, Phường Chơn Thành, Tỉnh Đồng Nai, Việt Nam (AM16-32)</t>
  </si>
  <si>
    <t>70697124001483</t>
  </si>
  <si>
    <t>PB01050039646001</t>
  </si>
  <si>
    <t>Quốc lộ 14, tổ 8, Khu phố 3, Phường Chơn Thành, Tỉnh Đồng Nai, Việt Nam (AM16-51)</t>
  </si>
  <si>
    <t>70697124001530</t>
  </si>
  <si>
    <t>PB01050039662001</t>
  </si>
  <si>
    <t>Quốc lộ 14, Tổ 8, Khu phố 3, Phường Chơn Thành, Tỉnh Đồng Nai, Việt Nam (AM16-14)</t>
  </si>
  <si>
    <t>70697124001547</t>
  </si>
  <si>
    <t>PB01050039658001</t>
  </si>
  <si>
    <t>Quốc lộ 14, Tổ 8, Khu phố 3, Phường Chơn Thành, Tỉnh Đồng Nai, Việt Nam (AM16-18)</t>
  </si>
  <si>
    <t>70697124001543</t>
  </si>
  <si>
    <t>PB01050039651001</t>
  </si>
  <si>
    <t>Quốc lộ 14, tổ 8, Khu phố 3, Phường Chơn Thành, Tỉnh Đồng Nai, Việt Nam (AM16-45)</t>
  </si>
  <si>
    <t>70697124001535</t>
  </si>
  <si>
    <t>PB01050037396001</t>
  </si>
  <si>
    <t>70697123001098</t>
  </si>
  <si>
    <t>PB01050034151001</t>
  </si>
  <si>
    <t>CÔNG TY CP PHÁT TRIỂN HẠ TẦNG KỸ THUẬT BECAMEX - BÌNH PHƯỚC (19)</t>
  </si>
  <si>
    <t>Quốc lộ 14, Tổ 8, Khu phố 3, Phường Chơn Thành, Tỉnh Đồng Nai, Việt Nam (TDC31-19)</t>
  </si>
  <si>
    <t>70697121001393</t>
  </si>
  <si>
    <t>PB01050030032</t>
  </si>
  <si>
    <t>PB01050030032001</t>
  </si>
  <si>
    <t>70697124002210</t>
  </si>
  <si>
    <t>PB01050039352001</t>
  </si>
  <si>
    <t>Quốc lộ 14, Tổ 8, Khu phố 3, Phường Chơn Thành, Tỉnh Đồng Nai, Việt Nam (TDC44-09)</t>
  </si>
  <si>
    <t>PB01050039587001</t>
  </si>
  <si>
    <t>Quốc lộ 14, Tổ 8, Khu phố 3, Phường Chơn Thành, Tỉnh Đồng Nai, Việt Nam (AM16-22)</t>
  </si>
  <si>
    <t>70697124001469</t>
  </si>
  <si>
    <t>PB01050039588001</t>
  </si>
  <si>
    <t>Quốc lộ 14, Tổ 8, Khu phố 3, Phường Chơn Thành, Tỉnh Đồng Nai, Việt Nam (AM16-23)</t>
  </si>
  <si>
    <t>70697124001470</t>
  </si>
  <si>
    <t>PB01050030034</t>
  </si>
  <si>
    <t>PB01050030034001</t>
  </si>
  <si>
    <t>70697124002212</t>
  </si>
  <si>
    <t>PB01050039666001</t>
  </si>
  <si>
    <t>Quốc lộ 14, Tổ 8, Khu phố 3, Phường Chơn Thành, Tỉnh Đồng Nai, Việt Nam (AM16-10)</t>
  </si>
  <si>
    <t>70697124001551</t>
  </si>
  <si>
    <t>PB01050039661001</t>
  </si>
  <si>
    <t>Quốc lộ 14, Tổ 8, Khu phố 3, Phường Chơn Thành, Tỉnh Đồng Nai, Việt Nam (AM16-15)</t>
  </si>
  <si>
    <t>70697124001546</t>
  </si>
  <si>
    <t>PB01050039745001</t>
  </si>
  <si>
    <t>Quốc lộ 14, tổ 8, Khu phố 3, Phường Chơn Thành, Tỉnh Đồng Nai, Việt Nam (AM16-64)</t>
  </si>
  <si>
    <t>70697124001683</t>
  </si>
  <si>
    <t>PB01050037416001</t>
  </si>
  <si>
    <t>70697123001124</t>
  </si>
  <si>
    <t>PB01050039366001</t>
  </si>
  <si>
    <t>Quốc lộ 14, Tổ 8, Khu phố 3, Phường Chơn Thành, Tỉnh Đồng Nai, Việt Nam (TDC44-23)</t>
  </si>
  <si>
    <t>PB01050034122001</t>
  </si>
  <si>
    <t>CÔNG TY CP PHÁT TRIỂN HẠ TẦNG KỸ THUẬT BECAMEX - BÌNH PHƯỚC (7)</t>
  </si>
  <si>
    <t>Quốc lộ 14, Tổ 8, Khu phố 3, Phường Chơn Thành, Tỉnh Đồng Nai, Việt Nam (TDC31-07)</t>
  </si>
  <si>
    <t>70697121001372</t>
  </si>
  <si>
    <t>PB01050039663001</t>
  </si>
  <si>
    <t>Quốc lộ 14, Tổ 8, Khu phố 3, Phường Chơn Thành, Tỉnh Đồng Nai, Việt Nam (AM16-13)</t>
  </si>
  <si>
    <t>70697124001548</t>
  </si>
  <si>
    <t>PB01050039738001</t>
  </si>
  <si>
    <t>Quốc lộ 14, tổ 8, Khu phố 3, Phường Chơn Thành, Tỉnh Đồng Nai, Việt Nam (AM16-72)</t>
  </si>
  <si>
    <t>70697124001672</t>
  </si>
  <si>
    <t>PB01050037413001</t>
  </si>
  <si>
    <t>70697123001121</t>
  </si>
  <si>
    <t>PB01050039671001</t>
  </si>
  <si>
    <t>Quốc lộ 14, Tổ 8, Khu phố 3, Phường Chơn Thành, Tỉnh Đồng Nai, Việt Nam (AM16-05)</t>
  </si>
  <si>
    <t>70697124001556</t>
  </si>
  <si>
    <t>PB01050039734001</t>
  </si>
  <si>
    <t>Quốc lộ 14, tổ 8, Khu phố 3, Phường Chơn Thành, Tỉnh Đồng Nai, Việt Nam (AM16-38)</t>
  </si>
  <si>
    <t>70697124001666</t>
  </si>
  <si>
    <t>PB01050037403001</t>
  </si>
  <si>
    <t>70697123001106</t>
  </si>
  <si>
    <t>PB01050034149001</t>
  </si>
  <si>
    <t>CÔNG TY CP PHÁT TRIỂN HẠ TẦNG KỸ THUẬT BECAMEX - BÌNH PHƯỚC (17)</t>
  </si>
  <si>
    <t>Quốc lộ 14, Tổ 8, Khu phố 3, Phường Chơn Thành, Tỉnh Đồng Nai, Việt Nam (TDC31-17)</t>
  </si>
  <si>
    <t>70697121001391</t>
  </si>
  <si>
    <t>PB01050039652001</t>
  </si>
  <si>
    <t>Quốc lộ 14, tổ 8, Khu phố 3, Phường Chơn Thành, Tỉnh Đồng Nai, Việt Nam (AM16-44)</t>
  </si>
  <si>
    <t>70697124001536</t>
  </si>
  <si>
    <t>PB01050037393001</t>
  </si>
  <si>
    <t>70697123001095</t>
  </si>
  <si>
    <t>PB01050039594001</t>
  </si>
  <si>
    <t>Quốc lộ 14, Tổ 8, Khu phố 3, Phường Chơn Thành, Tỉnh Đồng Nai, Việt Nam (AM16-26)</t>
  </si>
  <si>
    <t>70697124001476</t>
  </si>
  <si>
    <t>PB01050034112001</t>
  </si>
  <si>
    <t>CÔNG TY CP PHÁT TRIỂN HẠ TẦNG KỸ THUẬT BECAMEX - BÌNH PHƯỚC (3)</t>
  </si>
  <si>
    <t>Quốc lộ 14, Tổ 8, Khu phố 3, Phường Chơn Thành, Tỉnh Đồng Nai, Việt Nam (TDC31-03)</t>
  </si>
  <si>
    <t>70697121001366</t>
  </si>
  <si>
    <t>PB01050034119001</t>
  </si>
  <si>
    <t>CÔNG TY CP PHÁT TRIỂN HẠ TẦNG KỸ THUẬT BECAMEX - BÌNH PHƯỚC (8)</t>
  </si>
  <si>
    <t>Quốc lộ 14, Tổ 8, Khu phố 3, Phường Chơn Thành, Tỉnh Đồng Nai, Việt Nam (TDC31-08)</t>
  </si>
  <si>
    <t>70697121001370</t>
  </si>
  <si>
    <t>PB01050039747001</t>
  </si>
  <si>
    <t>Quốc lộ 14, tổ 8, Khu phố 3, Phường Chơn Thành, Tỉnh Đồng Nai, Việt Nam (AM16-62)</t>
  </si>
  <si>
    <t>70697124001685</t>
  </si>
  <si>
    <t>PB01050037420001</t>
  </si>
  <si>
    <t>70697123001128</t>
  </si>
  <si>
    <t>PB01050039362001</t>
  </si>
  <si>
    <t>Quốc lộ 14, Tổ 8, Khu phố 3, Phường Chơn Thành, Tỉnh Đồng Nai, Việt Nam (TDC44-19)</t>
  </si>
  <si>
    <t>PB01050039656001</t>
  </si>
  <si>
    <t>Quốc lộ 14, Tổ 8, Khu phố 3, Phường Chơn Thành, Tỉnh Đồng Nai, Việt Nam (AM16-20)</t>
  </si>
  <si>
    <t>70697124001540</t>
  </si>
  <si>
    <t>PB01050032159</t>
  </si>
  <si>
    <t>PB01050032159001</t>
  </si>
  <si>
    <t>70697124002219</t>
  </si>
  <si>
    <t>PB01050034150001</t>
  </si>
  <si>
    <t>CÔNG TY CP PHÁT TRIỂN HẠ TẦNG KỸ THUẬT BECAMEX - BÌNH PHƯỚC (18)</t>
  </si>
  <si>
    <t>Quốc lộ 14, Tổ 8, Khu phố 3, Phường Chơn Thành, Tỉnh Đồng Nai, Việt Nam (TDC31-18)</t>
  </si>
  <si>
    <t>70697121001392</t>
  </si>
  <si>
    <t>PB01050039108001</t>
  </si>
  <si>
    <t>Quốc lộ 14, tổ 8, Khu phố 3, Phường Chơn Thành, Tỉnh Đồng Nai, Việt Nam (AM16-76)</t>
  </si>
  <si>
    <t>PB01050039106001</t>
  </si>
  <si>
    <t>Quốc lộ 14, tổ 8, Khu phố 3, Phường Chơn Thành, Tỉnh Đồng Nai, Việt Nam (AM16-78)</t>
  </si>
  <si>
    <t>PB01050039107001</t>
  </si>
  <si>
    <t>Quốc lộ 14, tổ 8, Khu phố 3, Phường Chơn Thành, Tỉnh Đồng Nai, Việt Nam (AM16-82)</t>
  </si>
  <si>
    <t>PB01050039103001</t>
  </si>
  <si>
    <t>Quốc lộ 14, tổ 8, Khu phố 3, Phường Chơn Thành, Tỉnh Đồng Naic, Việt Nam (AM16-79)</t>
  </si>
  <si>
    <t>PB01050039365001</t>
  </si>
  <si>
    <t>Quốc lộ 14, Tổ 8, Khu phố 3, Phường Chơn Thành, Tỉnh Đồng Nai, Việt Nam (TDC44-24)</t>
  </si>
  <si>
    <t>PB01050037418001</t>
  </si>
  <si>
    <t>70697123001126</t>
  </si>
  <si>
    <t>PB01050034147001</t>
  </si>
  <si>
    <t>CÔNG TY CP PHÁT TRIỂN HẠ TẦNG KỸ THUẬT BECAMEX - BÌNH PHƯỚC (15)</t>
  </si>
  <si>
    <t>Quốc lộ 14, Tổ 8, Khu phố 3, Phường Chơn Thành, Tỉnh Đồng Nai, Việt Nam (TDC31-15)</t>
  </si>
  <si>
    <t>70697121001389</t>
  </si>
  <si>
    <t>PB01050039350001</t>
  </si>
  <si>
    <t>Quốc lộ 14, Tổ 8, Khu phố 3, Phường Chơn Thành, Tỉnh Đồng Nai, Việt Nam (TDC44-08)</t>
  </si>
  <si>
    <t>PB01050039669001</t>
  </si>
  <si>
    <t>Quốc lộ 14, Tổ 8, Khu phố 3, Phường Chơn Thành, Tỉnh Đồng Nai, Việt Nam (AM16-07)</t>
  </si>
  <si>
    <t>70697124001554</t>
  </si>
  <si>
    <t>PB01050039739001</t>
  </si>
  <si>
    <t>Quốc lộ 14, tổ 8, Khu phố 3, Phường Chơn Thành, Tỉnh Đồng Nai, Việt Nam (AM16-70)</t>
  </si>
  <si>
    <t>70697124001673</t>
  </si>
  <si>
    <t>PB01050039673001</t>
  </si>
  <si>
    <t>Quốc lộ 14, Tổ 8, Khu phố 3, Phường Chơn Thành, Tỉnh Đồng Nai, Việt Nam (AM16-03)</t>
  </si>
  <si>
    <t>70697124001558</t>
  </si>
  <si>
    <t>PB01050039344001</t>
  </si>
  <si>
    <t>Quốc lộ 14, Tổ 8, Khu phố 3, Phường Chơn Thành, Tỉnh Đồng Nai, Việt Nam (TDC44-02)</t>
  </si>
  <si>
    <t>PB01050039648001</t>
  </si>
  <si>
    <t>Quốc lộ 14, tổ 8, Khu phố 3, Phường Chơn Thành, Tỉnh Đồng Nai, Việt Nam (AM16-49)</t>
  </si>
  <si>
    <t>70697124001532</t>
  </si>
  <si>
    <t>PB01050039660001</t>
  </si>
  <si>
    <t>70697124001545</t>
  </si>
  <si>
    <t>PB01050032161</t>
  </si>
  <si>
    <t>PB01050032161001</t>
  </si>
  <si>
    <t>70697124002227</t>
  </si>
  <si>
    <t>PB01050037856001</t>
  </si>
  <si>
    <t>Quốc lộ 14, Tổ 8, Khu phố 3, Phường Chơn Thành, Tỉnh Đồng Nai, Việt Nam</t>
  </si>
  <si>
    <t>70697123001637</t>
  </si>
  <si>
    <t>PB01050039653001</t>
  </si>
  <si>
    <t>Quốc lộ 14, tổ 8, Khu phố 3, Phường Chơn Thành, Tỉnh Đồng Nai, Việt Nam (AM16-43)</t>
  </si>
  <si>
    <t>70697124001537</t>
  </si>
  <si>
    <t>PB01050034123001</t>
  </si>
  <si>
    <t>CÔNG TY CP PHÁT TRIỂN HẠ TẦNG KỸ THUẬT BECAMEX - BÌNH PHƯỚC (10)</t>
  </si>
  <si>
    <t>Quốc lộ 14, Tổ 8, Khu phố 3, Phường Chơn Thành, Tỉnh Đồng Nai, Việt Nam (TDC31-10)</t>
  </si>
  <si>
    <t>70697121001373</t>
  </si>
  <si>
    <t>PB01050039359001</t>
  </si>
  <si>
    <t>Quốc lộ 14, Tổ 8, Khu phố 3, Phường Chơn Thành, Tỉnh Đồng Nai, Việt Nam (TDC44-18)</t>
  </si>
  <si>
    <t>PB01050039641001</t>
  </si>
  <si>
    <t>Quốc lộ 14, tổ 8, Khu phố 3, Phường Chơn Thành, Tỉnh Đồng Nai, Việt Nam (AM16-53)</t>
  </si>
  <si>
    <t>70697124001523</t>
  </si>
  <si>
    <t>PB01050037411001</t>
  </si>
  <si>
    <t>70697123001119</t>
  </si>
  <si>
    <t>PB01050034142001</t>
  </si>
  <si>
    <t>CÔNG TY CP PHÁT TRIỂN HẠ TẦNG KỸ THUẬT BECAMEX - BÌNH PHƯỚC (12)</t>
  </si>
  <si>
    <t>Quốc lộ 14, Tổ 8, Khu phố 3, Phường Chơn Thành, Tỉnh Đồng Nai, Việt Nam (TDC31-12)</t>
  </si>
  <si>
    <t>70697121001384</t>
  </si>
  <si>
    <t>PB01050039650001</t>
  </si>
  <si>
    <t>Quốc lộ 14, tổ 8, Khu phố 3, Phường Chơn Thành, Tỉnh Đồng Nai, Việt Nam (AM16-47)</t>
  </si>
  <si>
    <t>70697124001534</t>
  </si>
  <si>
    <t>PB01050039347001</t>
  </si>
  <si>
    <t>Quốc lộ 14, Tổ 8, Khu phố 3, Phường Chơn Thành, Tỉnh Đồng Nai, Việt Nam (TDC44-06)</t>
  </si>
  <si>
    <t>PB01050039364001</t>
  </si>
  <si>
    <t>Quốc lộ 14, Tổ 8, Khu phố 3, Phường Chơn Thành, Tỉnh Đồng Nai, Việt Nam (TDC44-22)</t>
  </si>
  <si>
    <t>PB01050037388001</t>
  </si>
  <si>
    <t>70697123001089</t>
  </si>
  <si>
    <t>PB01050032168</t>
  </si>
  <si>
    <t>PB01050032168001</t>
  </si>
  <si>
    <t>70697124002222</t>
  </si>
  <si>
    <t>PB01050039368001</t>
  </si>
  <si>
    <t>Quốc lộ 14, Tổ 8, Khu phố 3, Phường Chơn Thành, Tỉnh Đồng Nai, Việt Nam (TDC44-25)</t>
  </si>
  <si>
    <t>PB01050030039</t>
  </si>
  <si>
    <t>PB01050030039001</t>
  </si>
  <si>
    <t>70697124002218</t>
  </si>
  <si>
    <t>PB01050032167</t>
  </si>
  <si>
    <t>PB01050032167001</t>
  </si>
  <si>
    <t>70697124002221</t>
  </si>
  <si>
    <t>PB01050039649001</t>
  </si>
  <si>
    <t>Quốc lộ 14, tổ 8, Khu phố 3, Phường Chơn Thành, Tỉnh Đồng Nai, Việt Nam (AM16-48)</t>
  </si>
  <si>
    <t>70697124001533</t>
  </si>
  <si>
    <t>PB01050039730001</t>
  </si>
  <si>
    <t>Quốc lộ 14, tổ 8, Khu phố 3, Phường Chơn Thành, Tỉnh Đồng Nai, Việt Nam (AM16-34)</t>
  </si>
  <si>
    <t>70697124001661</t>
  </si>
  <si>
    <t>PB01050039102001</t>
  </si>
  <si>
    <t>Quốc lộ 14, tổ 8, Khu phố 3, Phường Chơn Thành, Tỉnh Đồng Nai, Việt Nam (AM16-81)</t>
  </si>
  <si>
    <t>PB01050034146001</t>
  </si>
  <si>
    <t>CÔNG TY CP PHÁT TRIỂN HẠ TẦNG KỸ THUẬT BECAMEX - BÌNH PHƯỚC (14)</t>
  </si>
  <si>
    <t>Quốc lộ 14, Tổ 8, Khu phố 3, Phường Chơn Thành, Tỉnh Đồng Nai, Việt Nam (TDC31-14)</t>
  </si>
  <si>
    <t>70697121001388</t>
  </si>
  <si>
    <t>PB01050039642001</t>
  </si>
  <si>
    <t>Quốc lộ 14, tổ 8, Khu phố 3, Phường Chơn Thành, Tỉnh Đồng Nai, Việt Nam (AM16-59)</t>
  </si>
  <si>
    <t>70697124001524</t>
  </si>
  <si>
    <t>PB01050037400001</t>
  </si>
  <si>
    <t>70697123001102</t>
  </si>
  <si>
    <t>PB01050037404001</t>
  </si>
  <si>
    <t>70697123001107</t>
  </si>
  <si>
    <t>PB01050037394001</t>
  </si>
  <si>
    <t>70697123001096</t>
  </si>
  <si>
    <t>PB01050039363001</t>
  </si>
  <si>
    <t>Quốc lộ 14, Tổ 8, Khu phố 3, Phường Chơn Thành, Tỉnh Đồng Nai, Việt Nam (TDC44-21)</t>
  </si>
  <si>
    <t>PB01050039741001</t>
  </si>
  <si>
    <t>Quốc lộ 14, tổ 8, Khu phố 3, Phường Chơn Thành, Tỉnh Đồng Nai, Việt Nam (AM16-68)</t>
  </si>
  <si>
    <t>70697124001677</t>
  </si>
  <si>
    <t>PB01050034124001</t>
  </si>
  <si>
    <t>CÔNG TY CP PHÁT TRIỂN HẠ TẦNG KỸ THUẬT BECAMEX - BÌNH PHƯỚC (11)</t>
  </si>
  <si>
    <t>Quốc lộ 14, Tổ 8, Khu phố 3, Phường Chơn Thành, Tỉnh Đồng Nai, Việt Nam (TDC31-11)</t>
  </si>
  <si>
    <t>70697121001374</t>
  </si>
  <si>
    <t>PB01050034113001</t>
  </si>
  <si>
    <t xml:space="preserve"> CÔNG TY CP PHÁT TRIỂN HẠ TẦNG KỸ THUẬT BECAMEX - BÌNH PHƯỚC (4)</t>
  </si>
  <si>
    <t>Quốc lộ 14, Tổ 8, Khu phố 3, Phường Chơn Thành, Tỉnh Đồng Nai, Việt Nam (TDC31-04)</t>
  </si>
  <si>
    <t>70697121001367</t>
  </si>
  <si>
    <t>PB01050032164</t>
  </si>
  <si>
    <t>PB01050032164001</t>
  </si>
  <si>
    <t>70697124002224</t>
  </si>
  <si>
    <t>PB01050037407001</t>
  </si>
  <si>
    <t>70697123001114</t>
  </si>
  <si>
    <t>PB01050037409001</t>
  </si>
  <si>
    <t>70697123001117</t>
  </si>
  <si>
    <t>PB01050034152001</t>
  </si>
  <si>
    <t>CÔNG TY CP PHÁT TRIỂN HẠ TẦNG KỸ THUẬT BECAMEX - BÌNH PHƯỚC (20)</t>
  </si>
  <si>
    <t>Quốc lộ 14, Tổ 8, Khu phố 3, Phường Chơn Thành, Tỉnh Đồng Nai, Việt Nam (TDC31-20)</t>
  </si>
  <si>
    <t>70697121001394</t>
  </si>
  <si>
    <t>PB01050039733001</t>
  </si>
  <si>
    <t>Quốc lộ 14, tổ 8, Khu phố 3, Phường Chơn Thành, Tỉnh Đồng Nai, Việt Nam (AM16-37)</t>
  </si>
  <si>
    <t>70697124001665</t>
  </si>
  <si>
    <t>PB01050034118001</t>
  </si>
  <si>
    <t>CÔNG TY CP PHÁT TRIỂN HẠ TẦNG KỸ THUẬT BECAMEX - BÌNH PHƯỚC (6)</t>
  </si>
  <si>
    <t>Quốc lộ 14, Tổ 8, Khu phố 3, Phường Chơn Thành, Tỉnh Đồng Nai, Việt Nam (TDC31-06)</t>
  </si>
  <si>
    <t>70697121001369</t>
  </si>
  <si>
    <t>PB01050037395001</t>
  </si>
  <si>
    <t>70697123001097</t>
  </si>
  <si>
    <t>PB01050033913001</t>
  </si>
  <si>
    <t>CÔNG TY CP PHÁT TRIỂN HẠ TẦNG KỸ THUẬT BECAMEX - BÌNH PHƯỚC (24)</t>
  </si>
  <si>
    <t>Quốc lộ 14, Tổ 8, Khu phố 3, Phường Chơn Thành, Tỉnh Đồng Nai, Việt Nam (TDC31-24)</t>
  </si>
  <si>
    <t>70697121001130</t>
  </si>
  <si>
    <t>PB01050033914001</t>
  </si>
  <si>
    <t>CÔNG TY CP PHÁT TRIỂN HẠ TẦNG KỸ THUẬT BECAMEX - BÌNH PHƯỚC (25)</t>
  </si>
  <si>
    <t>Quốc lộ 14, Tổ 8, Khu phố 3, Phường Chơn Thành, Tỉnh Đồng Nai, Việt Nam (TDC31-25)</t>
  </si>
  <si>
    <t>70697121001131</t>
  </si>
  <si>
    <t>PB01050037408001</t>
  </si>
  <si>
    <t>70697123001116</t>
  </si>
  <si>
    <t>PB01050039746001</t>
  </si>
  <si>
    <t>Quốc lộ 14, tổ 8, Khu phố 3, Phường Chơn Thành, Tỉnh Đồng Nai, Việt Nam (AM16-63)</t>
  </si>
  <si>
    <t>70697124001684</t>
  </si>
  <si>
    <t>PB01050039617001</t>
  </si>
  <si>
    <t>Quốc lộ 14, tổ 8, Khu phố 3, Phường Chơn Thành, Tỉnh Đồng Nai, Việt Nam (AM16-74)</t>
  </si>
  <si>
    <t>70697124001499</t>
  </si>
  <si>
    <t>PB01050039657001</t>
  </si>
  <si>
    <t>Quốc lộ 14, Tổ 8, Khu phố 3, Phường Chơn Thành, Tỉnh Đồng Nai, Việt Nam (AM16-19)</t>
  </si>
  <si>
    <t>70697124001542</t>
  </si>
  <si>
    <t>PB01050037401001</t>
  </si>
  <si>
    <t>70697123001103</t>
  </si>
  <si>
    <t>PB01050039737001</t>
  </si>
  <si>
    <t>Quốc lộ 14, tổ 8, Khu phố 3, Phường Chơn Thành, Tỉnh Đồng Nai, Việt Nam (AM16-41)</t>
  </si>
  <si>
    <t>70697124001670</t>
  </si>
  <si>
    <t>PB01050039655001</t>
  </si>
  <si>
    <t>Quốc lộ 14, Tổ 8, Khu phố 3, Phường Chơn Thành, Tỉnh Đồng Nai, Việt Nam (AM16-01)</t>
  </si>
  <si>
    <t>70697124001539</t>
  </si>
  <si>
    <t>PB01050039358001</t>
  </si>
  <si>
    <t>Quốc lộ 14, Tổ 8, Khu phố 3, Phường Chơn Thành, Tỉnh Đồng Nai, Việt Nam (TDC44-16)</t>
  </si>
  <si>
    <t>PB01050039367001</t>
  </si>
  <si>
    <t>Quốc lộ 14, Tổ 8, Khu phố 3, Phường Chơn Thành, Tỉnh Đồng Nai, Việt Nam (TDC44-26)</t>
  </si>
  <si>
    <t>PB01050034145001</t>
  </si>
  <si>
    <t>CÔNG TY CP PHÁT TRIỂN HẠ TẦNG KỸ THUẬT BECAMEX - BÌNH PHƯỚC (13)</t>
  </si>
  <si>
    <t>Quốc lộ 14, Tổ 8, Khu phố 3, Phường Chơn Thành, Tỉnh Đồng Nai, Việt Nam (TDC31-13)</t>
  </si>
  <si>
    <t>70697121001387</t>
  </si>
  <si>
    <t>PB01050039635001</t>
  </si>
  <si>
    <t>Quốc lộ 14, tổ 8, Khu phố 3, Phường Chơn Thành, Tỉnh Đồng Nai, Việt Nam (AM16-58)</t>
  </si>
  <si>
    <t>70697124001517</t>
  </si>
  <si>
    <t>PB01050039742001</t>
  </si>
  <si>
    <t>Quốc lộ 14, tổ 8, Khu phố 3, Phường Chơn Thành, Tỉnh Đồng Nai, Việt Nam (AM16-67)</t>
  </si>
  <si>
    <t>70697124001679</t>
  </si>
  <si>
    <t>PB01050037419001</t>
  </si>
  <si>
    <t>70697123001127</t>
  </si>
  <si>
    <t>PB01050030036</t>
  </si>
  <si>
    <t>PB01050030036001</t>
  </si>
  <si>
    <t>70697124002213</t>
  </si>
  <si>
    <t>PB01050039105001</t>
  </si>
  <si>
    <t>Quốc lộ 14, tổ 8, Khu phố 3, Phường Chơn Thành, Tỉnh Đồng Nai, Việt Nam (AM16-80)</t>
  </si>
  <si>
    <t>PB01050039351001</t>
  </si>
  <si>
    <t>Quốc lộ 14, Tổ 8, Khu phố 3, Phường Chơn Thành, Tỉnh Đồng Nai, Việt Nam (TDC44-10)</t>
  </si>
  <si>
    <t>PB01050040499001</t>
  </si>
  <si>
    <t>CÔNG TY CỔ PHẦN PHÁT TRIỂN HẠ TẦNG KỸ THUẬT BECAMEX - BÌNH PHƯỚC</t>
  </si>
  <si>
    <t>Quốc lộ 14, tổ 8, Khu phố 3, Phường Chơn Thành, Tỉnh Đồng Nai, Việt Nam (TDC59 - 07)</t>
  </si>
  <si>
    <t>70697125000434</t>
  </si>
  <si>
    <t>010533907</t>
  </si>
  <si>
    <t>Đối chiếu với chị Vân Anh gửi</t>
  </si>
  <si>
    <t>Tâm lưu</t>
  </si>
  <si>
    <t xml:space="preserve">Căn 79 lô AM-15 </t>
  </si>
  <si>
    <t>Căn 2 TDC-32 (đã thanh lý)</t>
  </si>
  <si>
    <t>Căn 1 TDC-32 (đã thanh lý)</t>
  </si>
  <si>
    <t>Quốc lộ 14, Tổ 8, Khu phố 3, Phường Chơn Thành, Tỉnh Đồng Nai, Việt Nam (AM16-16)</t>
  </si>
  <si>
    <t>Quốc lộ 14, Tổ 8, Khu phố 3, Phường Chơn Thành, Tỉnh Đồng Nai, Việt Nam (TDC19-42)</t>
  </si>
  <si>
    <t>Quốc lộ 14, Tổ 8, Khu phố 3, Phường Chơn Thành, Tỉnh Đồng Nai, Việt Nam (TDC19-68)</t>
  </si>
  <si>
    <t>Quốc lộ 14, Tổ 8, Khu phố 3, Phường Chơn Thành, Tỉnh Đồng Nai, Việt Nam (TDC19-48-49)</t>
  </si>
  <si>
    <t>Quốc lộ 14, Tổ 8, Khu phố 3, Phường Chơn Thành, Tỉnh Đồng Nai, Việt Nam (TDC19-43)</t>
  </si>
  <si>
    <t>Quốc lộ 14, Tổ 8, Khu phố 3, Phường Chơn Thành, Tỉnh Đồng Nai, Việt Nam (TDC19-54-55)</t>
  </si>
  <si>
    <t>Quốc lộ 14, Tổ 8, Khu phố 3, Phường Chơn Thành, Tỉnh Đồng Nai, Việt Nam (TDC19-35)</t>
  </si>
  <si>
    <t>Quốc lộ 14, Tổ 8, Khu phố 3, Phường Chơn Thành, Tỉnh Đồng Nai, Việt Nam (TDC19-66-67)</t>
  </si>
  <si>
    <t>Quốc lộ 14, Tổ 8, Khu phố 3, Phường Chơn Thành, Tỉnh Đồng Nai, Việt Nam (TDC19-45)</t>
  </si>
  <si>
    <t>Quốc lộ 14, Tổ 8, Khu phố 3, Phường Chơn Thành, Tỉnh Đồng Nai, Việt Nam (TDC19-46)</t>
  </si>
  <si>
    <t>Quốc lộ 14, Tổ 8, Khu phố 3, Phường Chơn Thành, Tỉnh Đồng Nai, Việt Nam (TDC19-58-59)</t>
  </si>
  <si>
    <t>Quốc lộ 14, Tổ 8, Khu phố 3, Phường Chơn Thành, Tỉnh Đồng Nai, Việt Nam (TDC19-52-53)</t>
  </si>
  <si>
    <t>Quốc lộ 14, Tổ 8, Khu phố 3, Phường Chơn Thành, Tỉnh Đồng Nai, Việt Nam (TDC19-62-63)</t>
  </si>
  <si>
    <t>Quốc lộ 14, Tổ 8, Khu phố 3, Phường Chơn Thành, Tỉnh Đồng Nai, Việt Nam (TDC19-64-65)</t>
  </si>
  <si>
    <t>Quốc lộ 14, Tổ 8, Khu phố 3, Phường Chơn Thành, Tỉnh Đồng Nai, Việt Nam (TDC19-60-61)</t>
  </si>
  <si>
    <t>Quốc lộ 14, Tổ 8, Khu phố 3, Phường Chơn Thành, Tỉnh Đồng Nai, Việt Nam (TDC19-69)</t>
  </si>
  <si>
    <t>Quốc lộ 14, Tổ 8, Khu phố 3, Phường Chơn Thành, Tỉnh Đồng Nai, Việt Nam (TDC19-47)</t>
  </si>
  <si>
    <t>Quốc lộ 14, Tổ 8, Khu phố 3, Phường Chơn Thành, Tỉnh Đồng Nai, Việt Nam (TDC19-40)</t>
  </si>
  <si>
    <t>Quốc lộ 14, Tổ 8, Khu phố 3, Phường Chơn Thành, Tỉnh Đồng Nai, Việt Nam (TDC19-50-51)</t>
  </si>
  <si>
    <t>Quốc lộ 14, Tổ 8, Khu phố 3, Phường Chơn Thành, Tỉnh Đồng Nai, Việt Nam (TDC19-41)</t>
  </si>
  <si>
    <t>Quốc lộ 14, Tổ 8, Khu phố 3, Phường Chơn Thành, Tỉnh Đồng Nai, Việt Nam (TDC19-44)</t>
  </si>
  <si>
    <t>Quốc lộ 14, Tổ 8, Khu phố 3, Phường Chơn Thành, Tỉnh Đồng Nai, Việt Nam (TDC19-56-57)</t>
  </si>
  <si>
    <t>Bên phụ trách</t>
  </si>
  <si>
    <t>Mã yêu cầu</t>
  </si>
  <si>
    <t>Chiếu sáng D3B 
(từ N3B đến đối diện cty)</t>
  </si>
  <si>
    <t>Đèn đường D2B KCN
 (giao D2B-N4B)</t>
  </si>
  <si>
    <t>Điểm giao N3B và T18
 (Ban QLDA)</t>
  </si>
  <si>
    <t>Đèn đường N4B D3B D4B
 KCN khu B</t>
  </si>
  <si>
    <t xml:space="preserve">PB01050032172 </t>
  </si>
  <si>
    <t>Tiền điện T10/2024</t>
  </si>
  <si>
    <t>Tiền điện T11/2024</t>
  </si>
  <si>
    <t>Tiền điện T12/2024</t>
  </si>
  <si>
    <t>Tổng cộng hàng tháng</t>
  </si>
  <si>
    <t>Tổng tiền đóng lại cho kế toán</t>
  </si>
  <si>
    <t>SDT đăng ký</t>
  </si>
  <si>
    <t>Tiền điện T10</t>
  </si>
  <si>
    <t>Tiền điện T11</t>
  </si>
  <si>
    <t>7525432125011884</t>
  </si>
  <si>
    <t>7525432125011885</t>
  </si>
  <si>
    <t>7525432125011886</t>
  </si>
  <si>
    <t>7525432125011887</t>
  </si>
  <si>
    <t>7525432125011889</t>
  </si>
  <si>
    <t>7525432125011890</t>
  </si>
  <si>
    <t>7525432125011891</t>
  </si>
  <si>
    <t>7525432125011893</t>
  </si>
  <si>
    <t>7525432125011894</t>
  </si>
  <si>
    <t>7525432125011896</t>
  </si>
  <si>
    <t>7525432125011898</t>
  </si>
  <si>
    <t>7525432125011901</t>
  </si>
  <si>
    <t>7525432125011903</t>
  </si>
  <si>
    <t>Mã tra nhanh</t>
  </si>
  <si>
    <t>t1631</t>
  </si>
  <si>
    <t>t1632</t>
  </si>
  <si>
    <t>t1644</t>
  </si>
  <si>
    <t>t1616</t>
  </si>
  <si>
    <t>t1643</t>
  </si>
  <si>
    <t>7525432125011904</t>
  </si>
  <si>
    <t>7525432125011906</t>
  </si>
  <si>
    <t>7525432125011908</t>
  </si>
  <si>
    <t>7525432125011909</t>
  </si>
  <si>
    <t>7525432125011910</t>
  </si>
  <si>
    <t>7525432125011913</t>
  </si>
  <si>
    <t>t1680</t>
  </si>
  <si>
    <t>t1630</t>
  </si>
  <si>
    <t>t1660</t>
  </si>
  <si>
    <t>t1610</t>
  </si>
  <si>
    <t>t1620</t>
  </si>
  <si>
    <t>t1640</t>
  </si>
  <si>
    <t>t1650</t>
  </si>
  <si>
    <t>t1670</t>
  </si>
  <si>
    <t>t1681</t>
  </si>
  <si>
    <t>t1621</t>
  </si>
  <si>
    <t>t1661</t>
  </si>
  <si>
    <t>t1611</t>
  </si>
  <si>
    <t>t1641</t>
  </si>
  <si>
    <t>t1651</t>
  </si>
  <si>
    <t>t1671</t>
  </si>
  <si>
    <t>t1682</t>
  </si>
  <si>
    <t>t1622</t>
  </si>
  <si>
    <t>t1612</t>
  </si>
  <si>
    <t>t1642</t>
  </si>
  <si>
    <t>t1652</t>
  </si>
  <si>
    <t>t1662</t>
  </si>
  <si>
    <t>t1672</t>
  </si>
  <si>
    <t>t1623</t>
  </si>
  <si>
    <t>t1633</t>
  </si>
  <si>
    <t>t1673</t>
  </si>
  <si>
    <t>t1653</t>
  </si>
  <si>
    <t>t1613</t>
  </si>
  <si>
    <t>t1663</t>
  </si>
  <si>
    <t>t1624</t>
  </si>
  <si>
    <t>t1674</t>
  </si>
  <si>
    <t>t1654</t>
  </si>
  <si>
    <t>t1614</t>
  </si>
  <si>
    <t>t1634</t>
  </si>
  <si>
    <t>t1664</t>
  </si>
  <si>
    <t>t1675</t>
  </si>
  <si>
    <t>t1655</t>
  </si>
  <si>
    <t>t1615</t>
  </si>
  <si>
    <t>t1625</t>
  </si>
  <si>
    <t>t1635</t>
  </si>
  <si>
    <t>t1645</t>
  </si>
  <si>
    <t>t1665</t>
  </si>
  <si>
    <t>t1676</t>
  </si>
  <si>
    <t>t1626</t>
  </si>
  <si>
    <t>t1646</t>
  </si>
  <si>
    <t>t1656</t>
  </si>
  <si>
    <t>t1636</t>
  </si>
  <si>
    <t>t1666</t>
  </si>
  <si>
    <t>t1677</t>
  </si>
  <si>
    <t>t1627</t>
  </si>
  <si>
    <t>t1657</t>
  </si>
  <si>
    <t>t1617</t>
  </si>
  <si>
    <t>t1637</t>
  </si>
  <si>
    <t>t1647</t>
  </si>
  <si>
    <t>t1667</t>
  </si>
  <si>
    <t>t1678</t>
  </si>
  <si>
    <t>t1628</t>
  </si>
  <si>
    <t>t1658</t>
  </si>
  <si>
    <t>t1618</t>
  </si>
  <si>
    <t>t1638</t>
  </si>
  <si>
    <t>t1648</t>
  </si>
  <si>
    <t>t1668</t>
  </si>
  <si>
    <t>t1679</t>
  </si>
  <si>
    <t>t1629</t>
  </si>
  <si>
    <t>t1659</t>
  </si>
  <si>
    <t>t1619</t>
  </si>
  <si>
    <t>t1639</t>
  </si>
  <si>
    <t>t1649</t>
  </si>
  <si>
    <t>t1669</t>
  </si>
  <si>
    <t>t1601</t>
  </si>
  <si>
    <t>t1602</t>
  </si>
  <si>
    <t>t1603</t>
  </si>
  <si>
    <t>t1604</t>
  </si>
  <si>
    <t>t1605</t>
  </si>
  <si>
    <t>t1606</t>
  </si>
  <si>
    <t>t1607</t>
  </si>
  <si>
    <t>t1608</t>
  </si>
  <si>
    <t>t1609</t>
  </si>
  <si>
    <t>7525432125011914</t>
  </si>
  <si>
    <t>7525432125011916</t>
  </si>
  <si>
    <t>7525432125011923</t>
  </si>
  <si>
    <t>7525432125011919</t>
  </si>
  <si>
    <t>7525432125011921</t>
  </si>
  <si>
    <t>7525432125011922</t>
  </si>
  <si>
    <t>7525432125012037</t>
  </si>
  <si>
    <t>7525432125011925</t>
  </si>
  <si>
    <t>7525432125011926</t>
  </si>
  <si>
    <t>7525432125011928</t>
  </si>
  <si>
    <t>7525432125011931</t>
  </si>
  <si>
    <t>7525432125011933</t>
  </si>
  <si>
    <t>7525432125011936</t>
  </si>
  <si>
    <t>7525432125011937</t>
  </si>
  <si>
    <t>7525432125011939</t>
  </si>
  <si>
    <t>7525432125011940</t>
  </si>
  <si>
    <t>7525432125011941</t>
  </si>
  <si>
    <t>7525432125011944</t>
  </si>
  <si>
    <t>7525432125011945</t>
  </si>
  <si>
    <t>7525432125011946</t>
  </si>
  <si>
    <t>7525432125011947</t>
  </si>
  <si>
    <t>7525432125011948</t>
  </si>
  <si>
    <t>7525432125011952</t>
  </si>
  <si>
    <t>7525432125011953</t>
  </si>
  <si>
    <t>7525432125011954</t>
  </si>
  <si>
    <t>7525432125011955</t>
  </si>
  <si>
    <t>7525432125011956</t>
  </si>
  <si>
    <t>7525432125011960</t>
  </si>
  <si>
    <t>7525432125011961</t>
  </si>
  <si>
    <t>7525432125011963</t>
  </si>
  <si>
    <t>7525432125011964</t>
  </si>
  <si>
    <t>7525432125011967</t>
  </si>
  <si>
    <t>7525432125011969</t>
  </si>
  <si>
    <t>7525432125011972</t>
  </si>
  <si>
    <t>7525432125011975</t>
  </si>
  <si>
    <t>7525432125011977</t>
  </si>
  <si>
    <t>7525432125012034</t>
  </si>
  <si>
    <t>7525432125011978</t>
  </si>
  <si>
    <t>7525432125011979</t>
  </si>
  <si>
    <t>7525432125011984</t>
  </si>
  <si>
    <t>7525432125011985</t>
  </si>
  <si>
    <t>7525432125011986</t>
  </si>
  <si>
    <t>7525432125011988</t>
  </si>
  <si>
    <t>7525432125011990</t>
  </si>
  <si>
    <t>7525432125011996</t>
  </si>
  <si>
    <t>7525432125012001</t>
  </si>
  <si>
    <t>7525432125012002</t>
  </si>
  <si>
    <t>7525432125012005</t>
  </si>
  <si>
    <t>7525432125012010</t>
  </si>
  <si>
    <t>7525432125012016</t>
  </si>
  <si>
    <t>7525432125012022</t>
  </si>
  <si>
    <t>7525432125012023</t>
  </si>
  <si>
    <t>7525432125012024</t>
  </si>
  <si>
    <t>7525432125012026</t>
  </si>
  <si>
    <t>7525432125012027</t>
  </si>
  <si>
    <t>7525432125012031</t>
  </si>
  <si>
    <t>7525432125012032</t>
  </si>
  <si>
    <t>Anh Khánh
(trường CĐ)</t>
  </si>
  <si>
    <t>Ngày</t>
  </si>
  <si>
    <t>Nội dung</t>
  </si>
  <si>
    <t>Số tiền
 (trước thuế)</t>
  </si>
  <si>
    <t>Thuế GTGT 8%</t>
  </si>
  <si>
    <t>Số tiền 
(sau thuế)</t>
  </si>
  <si>
    <t>Thông báo tiền điện tháng 11-2025 - Căn 15 - AM16</t>
  </si>
  <si>
    <t>Thông báo tiền điện tháng 11-2025 - Căn 16 - AM16</t>
  </si>
  <si>
    <t>Thông báo tiền điện tháng 11-2025 - Căn 19 - AM16</t>
  </si>
  <si>
    <t>Thông báo tiền điện tháng 11-2025 - Căn 20 - AM16</t>
  </si>
  <si>
    <t>Thông báo tiền điện tháng 11-2025 - Căn 25 - AM16</t>
  </si>
  <si>
    <t>Thông báo tiền điện tháng 11-2025 - Căn 27 - AM16</t>
  </si>
  <si>
    <t>Thông báo tiền điện tháng 11-2025 - Căn 41 - AM16</t>
  </si>
  <si>
    <t>Tổng số tiền thanh toán:</t>
  </si>
  <si>
    <t>CÔNG TY CỔ PHẦN PHÁT TRIỂN HẠ TẦNG KỸ THUẬT BECAMEX-BÌNH PHƯỚC(30 - TDC-31)</t>
  </si>
  <si>
    <t>CÔNG TY CỔ PHẦN PHÁT TRIỂN HẠ TẦNG KỸ THUẬT BECAMEX-BÌNH PHƯỚC(31 - TDC-31)</t>
  </si>
  <si>
    <t>CÔNG TY CỔ PHẦN PHÁT TRIỂN HẠ TẦNG KỸ THUẬT BECAMEX-BÌNH PHƯỚC(32 - TDC-31)</t>
  </si>
  <si>
    <t>CÔNG TY CỔ PHẦN PHÁT TRIỂN HẠ TẦNG KỸ THUẬT BECAMEX-BÌNH PHƯỚC(33 - TDC-31)</t>
  </si>
  <si>
    <t>CÔNG TY CỔ PHẦN PHÁT TRIỂN HẠ TẦNG KỸ THUẬT BECAMEX-BÌNH PHƯỚC(34 - TDC-31)</t>
  </si>
  <si>
    <t>CÔNG TY CỔ PHẦN PHÁT TRIỂN HẠ TẦNG KỸ THUẬT BECAMEX-BÌNH PHƯỚC(35 - TDC-31)</t>
  </si>
  <si>
    <t>CÔNG TY CỔ PHẦN PHÁT TRIỂN HẠ TẦNG KỸ THUẬT BECAMEX-BÌNH PHƯỚC(36 - TDC-31)</t>
  </si>
  <si>
    <t>CÔNG TY CỔ PHẦN PHÁT TRIỂN HẠ TẦNG KỸ THUẬT BECAMEX-BÌNH PHƯỚC(37 - TDC-31)</t>
  </si>
  <si>
    <t>CÔNG TY CỔ PHẦN PHÁT TRIỂN HẠ TẦNG KỸ THUẬT BECAMEX-BÌNH PHƯỚC(38 - TDC-31)</t>
  </si>
  <si>
    <t>CÔNG TY CỔ PHẦN PHÁT TRIỂN HẠ TẦNG KỸ THUẬT BECAMEX-BÌNH PHƯỚC(39 - TDC-31)</t>
  </si>
  <si>
    <t>CÔNG TY CỔ PHẦN PHÁT TRIỂN HẠ TẦNG KỸ THUẬT BECAMEX-BÌNH PHƯỚC(40 - TDC-31)</t>
  </si>
  <si>
    <t>CÔNG TY CỔ PHẦN PHÁT TRIỂN HẠ TẦNG KỸ THUẬT BECAMEX-BÌNH PHƯỚC(41 - TDC-31)</t>
  </si>
  <si>
    <t>CÔNG TY CỔ PHẦN PHÁT TRIỂN HẠ TẦNG KỸ THUẬT BECAMEX-BÌNH PHƯỚC(42 - TDC-31)</t>
  </si>
  <si>
    <t>CÔNG TY CỔ PHẦN PHÁT TRIỂN HẠ TẦNG KỸ THUẬT BECAMEX-BÌNH PHƯỚC(43 - TDC-31)</t>
  </si>
  <si>
    <t>CÔNG TY CỔ PHẦN PHÁT TRIỂN HẠ TẦNG KỸ THUẬT BECAMEX-BÌNH PHƯỚC(44 - TDC-31)</t>
  </si>
  <si>
    <t>CÔNG TY CỔ PHẦN PHÁT TRIỂN HẠ TẦNG KỸ THUẬT BECAMEX-BÌNH PHƯỚC(45 - TDC-31)</t>
  </si>
  <si>
    <t>CÔNG TY CỔ PHẦN PHÁT TRIỂN HẠ TẦNG KỸ THUẬT BECAMEX-BÌNH PHƯỚC(46 - TDC-31)</t>
  </si>
  <si>
    <t>CÔNG TY CỔ PHẦN PHÁT TRIỂN HẠ TẦNG KỸ THUẬT BECAMEX-BÌNH PHƯỚC(47 - TDC-31)</t>
  </si>
  <si>
    <t>CÔNG TY CỔ PHẦN PHÁT TRIỂN HẠ TẦNG KỸ THUẬT BECAMEX-BÌNH PHƯỚC(48 - TDC-31)</t>
  </si>
  <si>
    <t>CÔNG TY CỔ PHẦN PHÁT TRIỂN HẠ TẦNG KỸ THUẬT BECAMEX-BÌNH PHƯỚC(49 - TDC-31)</t>
  </si>
  <si>
    <t>CÔNG TY CỔ PHẦN PHÁT TRIỂN HẠ TẦNG KỸ THUẬT BECAMEX-BÌNH PHƯỚC(50 - TDC-31)</t>
  </si>
  <si>
    <t>CÔNG TY CỔ PHẦN PHÁT TRIỂN HẠ TẦNG KỸ THUẬT BECAMEX-BÌNH PHƯỚC(51 - TDC-31)</t>
  </si>
  <si>
    <t>CÔNG TY CỔ PHẦN PHÁT TRIỂN HẠ TẦNG KỸ THUẬT BECAMEX-BÌNH PHƯỚC(52 - TDC-31)</t>
  </si>
  <si>
    <t>CÔNG TY CỔ PHẦN PHÁT TRIỂN HẠ TẦNG KỸ THUẬT BECAMEX-BÌNH PHƯỚC(53 - TDC-31)</t>
  </si>
  <si>
    <t>CÔNG TY CỔ PHẦN PHÁT TRIỂN HẠ TẦNG KỸ THUẬT BECAMEX-BÌNH PHƯỚC(54 - TDC-31)</t>
  </si>
  <si>
    <t>CÔNG TY CỔ PHẦN PHÁT TRIỂN HẠ TẦNG KỸ THUẬT BECAMEX-BÌNH PHƯỚC(55 - TDC-31)</t>
  </si>
  <si>
    <t>CÔNG TY CỔ PHẦN PHÁT TRIỂN HẠ TẦNG KỸ THUẬT BECAMEX-BÌNH PHƯỚC(56 - TDC-31)</t>
  </si>
  <si>
    <t>CÔNG TY CỔ PHẦN PHÁT TRIỂN HẠ TẦNG KỸ THUẬT BECAMEX-BÌNH PHƯỚC(57 - TDC-31)</t>
  </si>
  <si>
    <t>CÔNG TY CỔ PHẦN PHÁT TRIỂN HẠ TẦNG KỸ THUẬT BECAMEX-BÌNH PHƯỚC(58 - TDC-31)</t>
  </si>
  <si>
    <t>CÔNG TY CỔ PHẦN PHÁT TRIỂN HẠ TẦNG KỸ THUẬT BECAMEX-BÌNH PHƯỚC(59 - TDC-31)</t>
  </si>
  <si>
    <t>Căn 35 - TĐC19</t>
  </si>
  <si>
    <t>Căn 36 - TĐC19</t>
  </si>
  <si>
    <t>Căn 40 - TĐC19</t>
  </si>
  <si>
    <t>Căn 41 - TĐC19</t>
  </si>
  <si>
    <t>Căn 42 - TĐC19</t>
  </si>
  <si>
    <t>Căn 43 - TĐC19</t>
  </si>
  <si>
    <t>Căn 44 - TĐC19</t>
  </si>
  <si>
    <t>Căn 45 - TĐC19</t>
  </si>
  <si>
    <t>Căn 46 - TĐC19</t>
  </si>
  <si>
    <t>Căn 47 - TĐC19</t>
  </si>
  <si>
    <t>Căn 48-49 - TĐC19</t>
  </si>
  <si>
    <t>Căn 50-51 - TĐC19</t>
  </si>
  <si>
    <t>Căn 52-53 - TĐC19</t>
  </si>
  <si>
    <t>Căn 54-55 - TĐC19</t>
  </si>
  <si>
    <t>Căn 56-57 - TĐC19</t>
  </si>
  <si>
    <t>Căn 58-59 - TĐC19</t>
  </si>
  <si>
    <t>Căn 60-61 - TĐC19</t>
  </si>
  <si>
    <t>Căn 62-63 - TĐC19</t>
  </si>
  <si>
    <t>Căn 64-65 - TĐC19</t>
  </si>
  <si>
    <t>Căn 66-67 - TĐC19</t>
  </si>
  <si>
    <t>Căn 68 - TĐC19</t>
  </si>
  <si>
    <t>Căn 69 - TĐC19</t>
  </si>
  <si>
    <t>Căn 85 - TĐC19</t>
  </si>
  <si>
    <t>Căn 70 - TĐC19</t>
  </si>
  <si>
    <t>Căn 71 - TĐC19</t>
  </si>
  <si>
    <t>Căn 95 - TĐC19</t>
  </si>
  <si>
    <t>Căn 102 - TĐC19</t>
  </si>
  <si>
    <t>Căn 96 - TĐC19</t>
  </si>
  <si>
    <t>Căn 75 - TĐC19</t>
  </si>
  <si>
    <t>Căn 90 - TĐC19</t>
  </si>
  <si>
    <t>Căn 91 - TĐC19</t>
  </si>
  <si>
    <t>Căn 72 - TĐC19</t>
  </si>
  <si>
    <t>Căn 80 - TĐC19</t>
  </si>
  <si>
    <t>Căn 103 - TĐC19</t>
  </si>
  <si>
    <t>Căn 97 - TĐC19</t>
  </si>
  <si>
    <t>Căn 98 - TĐC19</t>
  </si>
  <si>
    <t>Căn 73 - TĐC19</t>
  </si>
  <si>
    <t>Căn 100 - TĐC19</t>
  </si>
  <si>
    <t>Căn 86 - TĐC19</t>
  </si>
  <si>
    <t>Căn 76 - TĐC19</t>
  </si>
  <si>
    <t>Căn 81 - TĐC19</t>
  </si>
  <si>
    <t>Căn 104 - TĐC19</t>
  </si>
  <si>
    <t>Căn 84 - TĐC19</t>
  </si>
  <si>
    <t>Căn 87 - TĐC19</t>
  </si>
  <si>
    <t>Căn 105 - TĐC19</t>
  </si>
  <si>
    <t>Căn 92 - TĐC19</t>
  </si>
  <si>
    <t>Căn 77 - TĐC19</t>
  </si>
  <si>
    <t>Căn 101 - TĐC19</t>
  </si>
  <si>
    <t>Căn 93 - TĐC19</t>
  </si>
  <si>
    <t>Căn 74 - TĐC19</t>
  </si>
  <si>
    <t>Căn 82 - TĐC19</t>
  </si>
  <si>
    <t>Căn 94 - TĐC19</t>
  </si>
  <si>
    <t>Căn 88 - TĐC19</t>
  </si>
  <si>
    <t>Căn 99 - TĐC19</t>
  </si>
  <si>
    <t>Căn 83 - TĐC19</t>
  </si>
  <si>
    <t>Căn 79 - TĐC19</t>
  </si>
  <si>
    <t>Căn 78 - TĐC19</t>
  </si>
  <si>
    <t>Căn 89 - TĐC19</t>
  </si>
  <si>
    <t>Căn 2 - TĐC31</t>
  </si>
  <si>
    <t>Căn 3 - TĐC31</t>
  </si>
  <si>
    <t>Căn 4 - TĐC31</t>
  </si>
  <si>
    <t>Căn 5 - TĐC31</t>
  </si>
  <si>
    <t>Căn 6 - TĐC31</t>
  </si>
  <si>
    <t>Căn 7 - TĐC31</t>
  </si>
  <si>
    <t>Căn 8 - TĐC31</t>
  </si>
  <si>
    <t>Căn 9 - TĐC31</t>
  </si>
  <si>
    <t>Căn 10 - TĐC31</t>
  </si>
  <si>
    <t>Căn 11 - TĐC31</t>
  </si>
  <si>
    <t>Căn 12 - TĐC31</t>
  </si>
  <si>
    <t>Căn 13 - TĐC31</t>
  </si>
  <si>
    <t>Căn 14 - TĐC31</t>
  </si>
  <si>
    <t>Căn 15 - TĐC31</t>
  </si>
  <si>
    <t>Căn 16 - TĐC31</t>
  </si>
  <si>
    <t>Căn 17 - TĐC31</t>
  </si>
  <si>
    <t>Căn 18 - TĐC31</t>
  </si>
  <si>
    <t>Căn 19 - TĐC31</t>
  </si>
  <si>
    <t>Căn 20 - TĐC31</t>
  </si>
  <si>
    <t>Căn 21 - TĐC31</t>
  </si>
  <si>
    <t>Căn 22 - TĐC31</t>
  </si>
  <si>
    <t>Căn 23 - TĐC31</t>
  </si>
  <si>
    <t>Căn 24 - TĐC31</t>
  </si>
  <si>
    <t>Căn 25 - TĐC31</t>
  </si>
  <si>
    <t>Căn 30 - TĐC31</t>
  </si>
  <si>
    <t>Căn 31 - TĐC31</t>
  </si>
  <si>
    <t>Căn 32 - TĐC31</t>
  </si>
  <si>
    <t>Căn 33 - TĐC31</t>
  </si>
  <si>
    <t>Căn 34 - TĐC31</t>
  </si>
  <si>
    <t>Căn 35 - TĐC31</t>
  </si>
  <si>
    <t>Căn 36 - TĐC31</t>
  </si>
  <si>
    <t>Căn 37 - TĐC31</t>
  </si>
  <si>
    <t>Căn 38 - TĐC31</t>
  </si>
  <si>
    <t>Căn 39 - TĐC31</t>
  </si>
  <si>
    <t>Căn 40 - TĐC31</t>
  </si>
  <si>
    <t>Căn 41 - TĐC31</t>
  </si>
  <si>
    <t>Căn 42 - TĐC31</t>
  </si>
  <si>
    <t>Căn 43 - TĐC31</t>
  </si>
  <si>
    <t>Căn 44 - TĐC31</t>
  </si>
  <si>
    <t>Căn 45 - TĐC31</t>
  </si>
  <si>
    <t>Căn 46 - TĐC31</t>
  </si>
  <si>
    <t>Căn 47 - TĐC31</t>
  </si>
  <si>
    <t>Căn 48 - TĐC31</t>
  </si>
  <si>
    <t>Căn 49 - TĐC31</t>
  </si>
  <si>
    <t>Căn 50 - TĐC31</t>
  </si>
  <si>
    <t>Căn 51 - TĐC31</t>
  </si>
  <si>
    <t>Căn 52 - TĐC31</t>
  </si>
  <si>
    <t>Căn 53 - TĐC31</t>
  </si>
  <si>
    <t>Căn 54 - TĐC31</t>
  </si>
  <si>
    <t>Căn 55 - TĐC31</t>
  </si>
  <si>
    <t>Căn 56 - TĐC31</t>
  </si>
  <si>
    <t>Căn 57 - TĐC31</t>
  </si>
  <si>
    <t>Căn 58 - TĐC31</t>
  </si>
  <si>
    <t>Căn 59 - TĐC31</t>
  </si>
  <si>
    <t>Căn 01 - TĐC32</t>
  </si>
  <si>
    <t>Căn 02 - TĐC32</t>
  </si>
  <si>
    <t>Căn 03 - TĐC32</t>
  </si>
  <si>
    <t>Căn 04 - TĐC32</t>
  </si>
  <si>
    <t>Căn 05 - TĐC32</t>
  </si>
  <si>
    <t>Căn 06 - TĐC32</t>
  </si>
  <si>
    <t>Căn 07 - TĐC32</t>
  </si>
  <si>
    <t>Căn 08 - TĐC32</t>
  </si>
  <si>
    <t>Căn 09 - TĐC32</t>
  </si>
  <si>
    <t>Căn 10 - TĐC32</t>
  </si>
  <si>
    <t>Căn 11 - TĐC32</t>
  </si>
  <si>
    <t>Căn 12 - TĐC32</t>
  </si>
  <si>
    <t>Căn 12A - TĐC32</t>
  </si>
  <si>
    <t>Căn 14 - TĐC32</t>
  </si>
  <si>
    <t>Căn 15 - TĐC32</t>
  </si>
  <si>
    <t>Căn 16 - TĐC32</t>
  </si>
  <si>
    <t>Căn 17 - TĐC32</t>
  </si>
  <si>
    <t>Căn 18 - TĐC32</t>
  </si>
  <si>
    <t>Căn 19 - TĐC32</t>
  </si>
  <si>
    <t>Căn 20 - TĐC32</t>
  </si>
  <si>
    <t>Căn 21 - TĐC32</t>
  </si>
  <si>
    <t>Căn 22 - TĐC32</t>
  </si>
  <si>
    <t>Căn 2 - TĐC44</t>
  </si>
  <si>
    <t xml:space="preserve"> Căn 3 - TĐC44</t>
  </si>
  <si>
    <t>Căn 4 - TĐC44</t>
  </si>
  <si>
    <t>Căn 5 - TĐC44</t>
  </si>
  <si>
    <t>Căn 6 - TĐC44</t>
  </si>
  <si>
    <t>Căn 7 - TĐC44</t>
  </si>
  <si>
    <t>Căn 8 - TĐC44</t>
  </si>
  <si>
    <t>Căn 9 - TĐC44</t>
  </si>
  <si>
    <t>Căn 10 - TĐC44</t>
  </si>
  <si>
    <t>Căn 11 - TĐC44</t>
  </si>
  <si>
    <t>Căn 12 - TĐC44</t>
  </si>
  <si>
    <t>Căn 12A - TĐC44</t>
  </si>
  <si>
    <t>Căn 14 - TĐC44</t>
  </si>
  <si>
    <t>Căn 15 - TĐC44</t>
  </si>
  <si>
    <t>Căn 16 - TĐC44</t>
  </si>
  <si>
    <t>Căn 17 - TĐC44</t>
  </si>
  <si>
    <t>Căn 18 - TĐC44</t>
  </si>
  <si>
    <t>Căn 19 - TĐC44</t>
  </si>
  <si>
    <t>Căn 20 - TĐC44</t>
  </si>
  <si>
    <t>Căn 21 - TĐC44</t>
  </si>
  <si>
    <t>Căn 22 - TĐC44</t>
  </si>
  <si>
    <t>Căn 23 - TĐC44</t>
  </si>
  <si>
    <t>Căn 24 - TĐC44</t>
  </si>
  <si>
    <t>Căn 25 - TĐC44</t>
  </si>
  <si>
    <t>Căn 26 - TĐC44</t>
  </si>
  <si>
    <t>Căn 01 - TĐC43</t>
  </si>
  <si>
    <t>Căn 02 - TĐC43</t>
  </si>
  <si>
    <t>Căn 03 - TĐC43</t>
  </si>
  <si>
    <t>Căn 04 - TĐC43</t>
  </si>
  <si>
    <t>Căn 05 - TĐC43</t>
  </si>
  <si>
    <t>Căn 06 - TĐC43</t>
  </si>
  <si>
    <t>Căn 07 - TĐC43</t>
  </si>
  <si>
    <t>Căn 08 - TĐC43</t>
  </si>
  <si>
    <t>Căn 09 - TĐC43</t>
  </si>
  <si>
    <t>Căn 10 - TĐC43</t>
  </si>
  <si>
    <t>Căn 11 - TĐC43</t>
  </si>
  <si>
    <t>Căn 12 - TĐC43</t>
  </si>
  <si>
    <t>Căn 13 - TĐC43</t>
  </si>
  <si>
    <t>Căn 14 - TĐC43</t>
  </si>
  <si>
    <t>Căn 15 - TĐC43</t>
  </si>
  <si>
    <t>Căn 16 - TĐC43</t>
  </si>
  <si>
    <t>Căn 17 - TĐC43</t>
  </si>
  <si>
    <t>Căn 18 - TĐC43</t>
  </si>
  <si>
    <t>Căn 19 - TĐC43</t>
  </si>
  <si>
    <t>Căn 20 - TĐC43</t>
  </si>
  <si>
    <t>Căn 21 - TĐC43</t>
  </si>
  <si>
    <t>Căn 22 - TĐC43</t>
  </si>
  <si>
    <t>Căn 23 - TĐC43</t>
  </si>
  <si>
    <t>Căn 25 - TĐC43</t>
  </si>
  <si>
    <t>Căn 24 - TĐC43</t>
  </si>
  <si>
    <t>Căn 27 - TĐC43</t>
  </si>
  <si>
    <t>Căn 26 - TĐC43</t>
  </si>
  <si>
    <t>Căn 07 - TĐC59</t>
  </si>
  <si>
    <t>Căn 72 - AM15</t>
  </si>
  <si>
    <t>Căn 73 - AM15</t>
  </si>
  <si>
    <t>Căn 79 - AM15 
(VP đội BV đã bàn giao cho P.TC)</t>
  </si>
  <si>
    <t>Căn 80 - AM15</t>
  </si>
  <si>
    <t>Căn 81 - AM16</t>
  </si>
  <si>
    <t>Căn 79 - AM16</t>
  </si>
  <si>
    <t>Căn 77 - AM16</t>
  </si>
  <si>
    <t>Căn 80 - AM16</t>
  </si>
  <si>
    <t>Căn 78 - AM16</t>
  </si>
  <si>
    <t>Căn 82 - AM16</t>
  </si>
  <si>
    <t>Căn 76 - AM16</t>
  </si>
  <si>
    <t>Căn 21 - AM16</t>
  </si>
  <si>
    <t>Căn 22 - AM16</t>
  </si>
  <si>
    <t>Căn 23 - AM16</t>
  </si>
  <si>
    <t>Căn 24 - AM16</t>
  </si>
  <si>
    <t>Căn 26 - AM16</t>
  </si>
  <si>
    <t>Căn 27 - AM16</t>
  </si>
  <si>
    <t>Căn 28 - AM16</t>
  </si>
  <si>
    <t>Căn 29 - AM16</t>
  </si>
  <si>
    <t>Căn 30 - AM16</t>
  </si>
  <si>
    <t>Căn 32 - AM16</t>
  </si>
  <si>
    <t>Căn 33 - AM16</t>
  </si>
  <si>
    <t>Căn 46 - AM16</t>
  </si>
  <si>
    <t>Căn 75 - AM16</t>
  </si>
  <si>
    <t>Căn 74 - AM16</t>
  </si>
  <si>
    <t>Căn 73 - AM16</t>
  </si>
  <si>
    <t>Căn 61 - AM16</t>
  </si>
  <si>
    <t>Căn 60 - AM16</t>
  </si>
  <si>
    <t>Căn 58 - AM16</t>
  </si>
  <si>
    <t>Căn 57 - AM16</t>
  </si>
  <si>
    <t>Căn 56 - AM16</t>
  </si>
  <si>
    <t>Căn 55 - AM16</t>
  </si>
  <si>
    <t>Căn 54 - AM16</t>
  </si>
  <si>
    <t>Căn 53 - AM16</t>
  </si>
  <si>
    <t>Căn 59 - AM16</t>
  </si>
  <si>
    <t>Căn 52 - AM16</t>
  </si>
  <si>
    <t>Căn 51 - AM16</t>
  </si>
  <si>
    <t>Căn 50 - AM16</t>
  </si>
  <si>
    <t>Căn 49 - AM16</t>
  </si>
  <si>
    <t>Căn 48 - AM16</t>
  </si>
  <si>
    <t>Căn 47 - AM16</t>
  </si>
  <si>
    <t>Căn 45 - AM16</t>
  </si>
  <si>
    <t>Căn 44 - AM16</t>
  </si>
  <si>
    <t>Căn 43 - AM16</t>
  </si>
  <si>
    <t>Căn 42 - AM16</t>
  </si>
  <si>
    <t>Căn 01 - AM16</t>
  </si>
  <si>
    <t>Căn 20 - AM16</t>
  </si>
  <si>
    <t>Căn 19 - AM16</t>
  </si>
  <si>
    <t>Căn 18 - AM16</t>
  </si>
  <si>
    <t>Căn 17 - AM16</t>
  </si>
  <si>
    <t>Căn 16 - AM16</t>
  </si>
  <si>
    <t>Căn 15 - AM16</t>
  </si>
  <si>
    <t>Căn 14 - AM16</t>
  </si>
  <si>
    <t>Căn 13 - AM16</t>
  </si>
  <si>
    <t>Căn 12 - AM16</t>
  </si>
  <si>
    <t>Căn 11 - AM16</t>
  </si>
  <si>
    <t>Căn 10 - AM16</t>
  </si>
  <si>
    <t>Căn 09 - AM16</t>
  </si>
  <si>
    <t>Căn 08 - AM16</t>
  </si>
  <si>
    <t>Căn 07 - AM16</t>
  </si>
  <si>
    <t>Căn 06 - AM16</t>
  </si>
  <si>
    <t>Căn 05 - AM16</t>
  </si>
  <si>
    <t>Căn 04 - AM16</t>
  </si>
  <si>
    <t>Căn 03 - AM16</t>
  </si>
  <si>
    <t>Căn 02 - AM16</t>
  </si>
  <si>
    <t>Căn 71 - AM16</t>
  </si>
  <si>
    <t>Căn 25 - AM16</t>
  </si>
  <si>
    <t>Căn 31 - AM16</t>
  </si>
  <si>
    <t>Căn 34 - AM16</t>
  </si>
  <si>
    <t>Căn 35 - AM16</t>
  </si>
  <si>
    <t>Căn 36 - AM16</t>
  </si>
  <si>
    <t>Căn 37 - AM16</t>
  </si>
  <si>
    <t>Căn 38 - AM16</t>
  </si>
  <si>
    <t>Căn 39 - AM16</t>
  </si>
  <si>
    <t>Căn 40 - AM16</t>
  </si>
  <si>
    <t>Căn 41 - AM16</t>
  </si>
  <si>
    <t>Căn 72 - AM16</t>
  </si>
  <si>
    <t>Căn 70 - AM16</t>
  </si>
  <si>
    <t>Căn 69 - AM16</t>
  </si>
  <si>
    <t>Căn 68 - AM16</t>
  </si>
  <si>
    <t>Căn 67 - AM16</t>
  </si>
  <si>
    <t>Căn 66 - AM16</t>
  </si>
  <si>
    <t>Căn 65 - AM16</t>
  </si>
  <si>
    <t>Căn 64 - AM16</t>
  </si>
  <si>
    <t>Căn 63 - AM16</t>
  </si>
  <si>
    <t>Căn 62 - AM16</t>
  </si>
  <si>
    <t>Trụ ATM tại - TĐC31</t>
  </si>
  <si>
    <t>Thông báo tiền điện tháng 11-2025 - Căn 33 - AM16</t>
  </si>
  <si>
    <t>Thông báo tiền điện tháng 11-2025 - Căn 01 - AM16</t>
  </si>
  <si>
    <t>Thông báo tiền điện tháng 11-2025 - Căn 35 - AM16</t>
  </si>
  <si>
    <t>Thông báo tiền điện tháng 11-2025 - Căn 37 - AM16</t>
  </si>
  <si>
    <t>Thông báo tiền điện tháng 11-2025 - Căn 01 - TDC43</t>
  </si>
  <si>
    <r>
      <rPr>
        <b/>
        <sz val="14"/>
        <color theme="1"/>
        <rFont val="Calibri Light"/>
        <family val="1"/>
        <scheme val="major"/>
      </rPr>
      <t xml:space="preserve">Bằng chữ: </t>
    </r>
    <r>
      <rPr>
        <sz val="14"/>
        <color theme="1"/>
        <rFont val="Calibri Light"/>
        <family val="1"/>
        <scheme val="major"/>
      </rPr>
      <t>Một triệu, chín trăm bốn mươi bốn nghìn, một trăm hai mươi hai đồng.</t>
    </r>
  </si>
  <si>
    <t>2025/7</t>
  </si>
  <si>
    <t>2025/6</t>
  </si>
  <si>
    <t>2025/5</t>
  </si>
  <si>
    <t>2025/4</t>
  </si>
  <si>
    <t>2025/3</t>
  </si>
  <si>
    <t>2025/2</t>
  </si>
  <si>
    <t>2025/1</t>
  </si>
  <si>
    <t>11/2025</t>
  </si>
  <si>
    <t>Phuong97*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</si>
</sst>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mm/dd/yyyy\ hh:mm:ss"/>
  </numFmts>
  <fonts count="24" x14ac:knownFonts="1">
    <font>
      <sz val="13"/>
      <color theme="1"/>
      <name val="Times New Roman"/>
      <family val="2"/>
    </font>
    <font>
      <sz val="13"/>
      <color theme="1"/>
      <name val="Times New Roman"/>
      <family val="2"/>
    </font>
    <font>
      <b/>
      <sz val="14"/>
      <name val="Times New Roman"/>
      <family val="1"/>
    </font>
    <font>
      <sz val="14"/>
      <name val="Times New Roman"/>
      <family val="1"/>
    </font>
    <font>
      <sz val="13"/>
      <name val="Times New Roman"/>
      <family val="1"/>
    </font>
    <font>
      <sz val="14"/>
      <color rgb="FFFF0000"/>
      <name val="Times New Roman"/>
      <family val="1"/>
    </font>
    <font>
      <sz val="12"/>
      <name val="Times New Roman"/>
      <family val="1"/>
    </font>
    <font>
      <sz val="8"/>
      <name val="Times New Roman"/>
      <family val="2"/>
    </font>
    <font>
      <b/>
      <sz val="13"/>
      <name val="Times New Roman"/>
      <family val="1"/>
    </font>
    <font>
      <sz val="13"/>
      <color theme="1"/>
      <name val="Times New Roman"/>
      <family val="1"/>
    </font>
    <font>
      <sz val="13"/>
      <color rgb="FFFF0000"/>
      <name val="Times New Roman"/>
      <family val="1"/>
    </font>
    <font>
      <sz val="6"/>
      <color rgb="FF262626"/>
      <name val="Roboto"/>
    </font>
    <font>
      <sz val="12"/>
      <color theme="1"/>
      <name val="Times New Roman"/>
      <family val="2"/>
    </font>
    <font>
      <sz val="12"/>
      <color rgb="FFFF0000"/>
      <name val="Times New Roman"/>
      <family val="2"/>
    </font>
    <font>
      <sz val="14"/>
      <color theme="1"/>
      <name val="Times New Roman"/>
      <family val="1"/>
    </font>
    <font>
      <sz val="11"/>
      <color theme="1"/>
      <name val="Calibri"/>
      <family val="2"/>
    </font>
    <font>
      <sz val="11"/>
      <name val="Calibri"/>
      <family val="2"/>
    </font>
    <font>
      <b/>
      <sz val="11"/>
      <name val="Calibri"/>
      <family val="2"/>
    </font>
    <font>
      <b/>
      <sz val="13"/>
      <color theme="1"/>
      <name val="Times New Roman"/>
      <family val="1"/>
    </font>
    <font>
      <b/>
      <sz val="14"/>
      <color theme="1"/>
      <name val="Times New Roman"/>
      <family val="1"/>
    </font>
    <font>
      <sz val="14"/>
      <color rgb="FF000000"/>
      <name val="Times New Roman"/>
      <family val="1"/>
    </font>
    <font>
      <b/>
      <sz val="14"/>
      <color theme="1"/>
      <name val="Calibri Light"/>
      <family val="1"/>
      <scheme val="major"/>
    </font>
    <font>
      <sz val="14"/>
      <color theme="1"/>
      <name val="Calibri Light"/>
      <family val="1"/>
      <scheme val="major"/>
    </font>
    <font>
      <sz val="14"/>
      <color rgb="FF00B0F0"/>
      <name val="Times New Roman"/>
      <family val="1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0" fontId="6" fillId="0" borderId="0"/>
    <xf numFmtId="0" fontId="12" fillId="0" borderId="0"/>
  </cellStyleXfs>
  <cellXfs count="197">
    <xf numFmtId="0" fontId="0" fillId="0" borderId="0" xfId="0"/>
    <xf numFmtId="0" fontId="3" fillId="0" borderId="0" xfId="0" applyFont="1" applyAlignment="1">
      <alignment vertical="center"/>
    </xf>
    <xf numFmtId="0" fontId="3" fillId="0" borderId="0" xfId="0" applyFont="1"/>
    <xf numFmtId="0" fontId="3" fillId="0" borderId="1" xfId="0" applyFont="1" applyBorder="1" applyAlignment="1">
      <alignment horizontal="center" vertical="center"/>
    </xf>
    <xf numFmtId="0" fontId="3" fillId="2" borderId="0" xfId="0" applyFont="1" applyFill="1"/>
    <xf numFmtId="0" fontId="3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/>
    </xf>
    <xf numFmtId="0" fontId="4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9" fillId="0" borderId="1" xfId="0" applyFont="1" applyBorder="1" applyAlignment="1">
      <alignment wrapText="1"/>
    </xf>
    <xf numFmtId="0" fontId="11" fillId="0" borderId="0" xfId="0" applyFont="1"/>
    <xf numFmtId="0" fontId="3" fillId="0" borderId="1" xfId="0" applyFont="1" applyBorder="1" applyAlignment="1">
      <alignment vertical="center"/>
    </xf>
    <xf numFmtId="0" fontId="9" fillId="4" borderId="1" xfId="0" applyFont="1" applyFill="1" applyBorder="1" applyAlignment="1">
      <alignment horizontal="center" vertical="center"/>
    </xf>
    <xf numFmtId="1" fontId="9" fillId="0" borderId="1" xfId="1" applyNumberFormat="1" applyFont="1" applyBorder="1" applyAlignment="1">
      <alignment horizontal="center" vertical="center"/>
    </xf>
    <xf numFmtId="0" fontId="12" fillId="0" borderId="0" xfId="3" applyAlignment="1">
      <alignment horizontal="center" vertical="center"/>
    </xf>
    <xf numFmtId="0" fontId="12" fillId="0" borderId="0" xfId="3"/>
    <xf numFmtId="0" fontId="3" fillId="5" borderId="0" xfId="3" applyFont="1" applyFill="1" applyAlignment="1">
      <alignment horizontal="center" vertical="center"/>
    </xf>
    <xf numFmtId="0" fontId="13" fillId="0" borderId="0" xfId="3" applyFont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9" fillId="6" borderId="1" xfId="0" applyFont="1" applyFill="1" applyBorder="1" applyAlignment="1">
      <alignment wrapText="1"/>
    </xf>
    <xf numFmtId="0" fontId="4" fillId="6" borderId="2" xfId="0" applyFont="1" applyFill="1" applyBorder="1" applyAlignment="1">
      <alignment vertical="center"/>
    </xf>
    <xf numFmtId="0" fontId="9" fillId="6" borderId="1" xfId="0" applyFont="1" applyFill="1" applyBorder="1" applyAlignment="1">
      <alignment horizontal="center" vertical="center"/>
    </xf>
    <xf numFmtId="1" fontId="4" fillId="6" borderId="1" xfId="0" applyNumberFormat="1" applyFont="1" applyFill="1" applyBorder="1" applyAlignment="1">
      <alignment horizontal="center" vertical="center"/>
    </xf>
    <xf numFmtId="0" fontId="4" fillId="6" borderId="4" xfId="0" applyFont="1" applyFill="1" applyBorder="1" applyAlignment="1">
      <alignment horizontal="center" vertical="center"/>
    </xf>
    <xf numFmtId="0" fontId="4" fillId="0" borderId="2" xfId="0" applyFont="1" applyBorder="1" applyAlignment="1">
      <alignment vertical="center"/>
    </xf>
    <xf numFmtId="0" fontId="9" fillId="7" borderId="1" xfId="0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1" fontId="4" fillId="7" borderId="1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9" fillId="0" borderId="0" xfId="0" applyFont="1" applyAlignment="1">
      <alignment wrapText="1"/>
    </xf>
    <xf numFmtId="0" fontId="3" fillId="3" borderId="1" xfId="0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0" fontId="4" fillId="8" borderId="1" xfId="0" applyFont="1" applyFill="1" applyBorder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0" fontId="3" fillId="11" borderId="1" xfId="0" applyFont="1" applyFill="1" applyBorder="1" applyAlignment="1">
      <alignment horizontal="center" vertical="center"/>
    </xf>
    <xf numFmtId="0" fontId="3" fillId="12" borderId="1" xfId="0" applyFont="1" applyFill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3" fillId="13" borderId="1" xfId="0" applyFont="1" applyFill="1" applyBorder="1" applyAlignment="1">
      <alignment horizontal="center" vertical="center"/>
    </xf>
    <xf numFmtId="0" fontId="3" fillId="14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9" fillId="15" borderId="1" xfId="0" applyFont="1" applyFill="1" applyBorder="1" applyAlignment="1">
      <alignment horizontal="center" vertical="center"/>
    </xf>
    <xf numFmtId="0" fontId="3" fillId="15" borderId="1" xfId="0" applyFont="1" applyFill="1" applyBorder="1"/>
    <xf numFmtId="0" fontId="3" fillId="15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vertical="center"/>
    </xf>
    <xf numFmtId="0" fontId="9" fillId="9" borderId="1" xfId="0" applyFont="1" applyFill="1" applyBorder="1" applyAlignment="1">
      <alignment horizontal="center" vertical="center"/>
    </xf>
    <xf numFmtId="0" fontId="3" fillId="9" borderId="1" xfId="0" applyFont="1" applyFill="1" applyBorder="1"/>
    <xf numFmtId="0" fontId="9" fillId="11" borderId="1" xfId="0" applyFont="1" applyFill="1" applyBorder="1" applyAlignment="1">
      <alignment horizontal="center" vertical="center"/>
    </xf>
    <xf numFmtId="0" fontId="3" fillId="11" borderId="1" xfId="0" applyFont="1" applyFill="1" applyBorder="1"/>
    <xf numFmtId="0" fontId="9" fillId="16" borderId="1" xfId="0" applyFont="1" applyFill="1" applyBorder="1" applyAlignment="1">
      <alignment horizontal="center" vertical="center"/>
    </xf>
    <xf numFmtId="0" fontId="3" fillId="16" borderId="1" xfId="0" applyFont="1" applyFill="1" applyBorder="1"/>
    <xf numFmtId="0" fontId="3" fillId="16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3" fillId="3" borderId="0" xfId="0" applyFont="1" applyFill="1" applyAlignment="1">
      <alignment vertical="center"/>
    </xf>
    <xf numFmtId="0" fontId="8" fillId="3" borderId="4" xfId="0" applyFont="1" applyFill="1" applyBorder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0" xfId="0" applyFont="1" applyFill="1"/>
    <xf numFmtId="0" fontId="3" fillId="3" borderId="0" xfId="0" applyFont="1" applyFill="1"/>
    <xf numFmtId="1" fontId="4" fillId="3" borderId="1" xfId="0" applyNumberFormat="1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/>
    </xf>
    <xf numFmtId="0" fontId="3" fillId="2" borderId="0" xfId="0" applyFont="1" applyFill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3" fillId="3" borderId="0" xfId="0" applyFont="1" applyFill="1" applyAlignment="1">
      <alignment vertical="center" wrapText="1"/>
    </xf>
    <xf numFmtId="0" fontId="3" fillId="3" borderId="0" xfId="0" applyFont="1" applyFill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8" fillId="2" borderId="0" xfId="0" applyFont="1" applyFill="1" applyAlignment="1">
      <alignment horizontal="left" vertical="center"/>
    </xf>
    <xf numFmtId="0" fontId="0" fillId="2" borderId="0" xfId="0" applyFill="1" applyAlignment="1">
      <alignment wrapText="1"/>
    </xf>
    <xf numFmtId="0" fontId="3" fillId="17" borderId="0" xfId="0" applyFont="1" applyFill="1"/>
    <xf numFmtId="0" fontId="3" fillId="15" borderId="0" xfId="0" applyFont="1" applyFill="1"/>
    <xf numFmtId="3" fontId="3" fillId="0" borderId="0" xfId="0" applyNumberFormat="1" applyFont="1" applyAlignment="1">
      <alignment horizontal="center" vertical="center"/>
    </xf>
    <xf numFmtId="3" fontId="3" fillId="3" borderId="1" xfId="0" applyNumberFormat="1" applyFont="1" applyFill="1" applyBorder="1" applyAlignment="1">
      <alignment horizontal="center" vertical="center"/>
    </xf>
    <xf numFmtId="3" fontId="3" fillId="0" borderId="1" xfId="0" applyNumberFormat="1" applyFont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3" fontId="2" fillId="0" borderId="4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 wrapText="1"/>
    </xf>
    <xf numFmtId="3" fontId="3" fillId="2" borderId="1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vertical="center"/>
    </xf>
    <xf numFmtId="3" fontId="3" fillId="2" borderId="1" xfId="0" applyNumberFormat="1" applyFont="1" applyFill="1" applyBorder="1" applyAlignment="1">
      <alignment horizontal="center" vertical="center" wrapText="1"/>
    </xf>
    <xf numFmtId="0" fontId="3" fillId="17" borderId="1" xfId="0" applyFont="1" applyFill="1" applyBorder="1" applyAlignment="1">
      <alignment horizontal="center" vertical="center"/>
    </xf>
    <xf numFmtId="0" fontId="3" fillId="17" borderId="1" xfId="0" applyFont="1" applyFill="1" applyBorder="1" applyAlignment="1">
      <alignment horizontal="center" vertical="center" wrapText="1"/>
    </xf>
    <xf numFmtId="3" fontId="3" fillId="17" borderId="1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wrapText="1"/>
    </xf>
    <xf numFmtId="0" fontId="3" fillId="2" borderId="1" xfId="2" applyFont="1" applyFill="1" applyBorder="1" applyAlignment="1">
      <alignment horizontal="center" vertical="center"/>
    </xf>
    <xf numFmtId="0" fontId="3" fillId="15" borderId="1" xfId="0" applyFont="1" applyFill="1" applyBorder="1" applyAlignment="1">
      <alignment horizontal="center" vertical="center" wrapText="1"/>
    </xf>
    <xf numFmtId="3" fontId="3" fillId="15" borderId="1" xfId="0" applyNumberFormat="1" applyFont="1" applyFill="1" applyBorder="1" applyAlignment="1">
      <alignment horizontal="center" vertical="center"/>
    </xf>
    <xf numFmtId="1" fontId="3" fillId="17" borderId="1" xfId="0" applyNumberFormat="1" applyFont="1" applyFill="1" applyBorder="1" applyAlignment="1">
      <alignment horizontal="center" vertical="center"/>
    </xf>
    <xf numFmtId="0" fontId="2" fillId="0" borderId="4" xfId="0" applyFont="1" applyBorder="1" applyAlignment="1">
      <alignment horizontal="center" vertical="center" wrapText="1"/>
    </xf>
    <xf numFmtId="0" fontId="3" fillId="0" borderId="0" xfId="0" applyFont="1" applyAlignment="1">
      <alignment wrapText="1"/>
    </xf>
    <xf numFmtId="0" fontId="3" fillId="18" borderId="1" xfId="0" applyFont="1" applyFill="1" applyBorder="1" applyAlignment="1">
      <alignment horizontal="center" vertical="center"/>
    </xf>
    <xf numFmtId="0" fontId="15" fillId="0" borderId="0" xfId="0" applyFont="1"/>
    <xf numFmtId="164" fontId="15" fillId="0" borderId="0" xfId="0" applyNumberFormat="1" applyFont="1"/>
    <xf numFmtId="0" fontId="15" fillId="2" borderId="0" xfId="0" applyFont="1" applyFill="1" applyAlignment="1">
      <alignment horizontal="center" vertical="center"/>
    </xf>
    <xf numFmtId="14" fontId="15" fillId="0" borderId="0" xfId="0" applyNumberFormat="1" applyFont="1"/>
    <xf numFmtId="14" fontId="0" fillId="0" borderId="0" xfId="0" applyNumberFormat="1"/>
    <xf numFmtId="0" fontId="16" fillId="18" borderId="1" xfId="0" applyFont="1" applyFill="1" applyBorder="1" applyAlignment="1">
      <alignment horizontal="center" vertical="center"/>
    </xf>
    <xf numFmtId="0" fontId="16" fillId="18" borderId="1" xfId="0" applyFont="1" applyFill="1" applyBorder="1" applyAlignment="1">
      <alignment horizontal="center" vertical="center" wrapText="1"/>
    </xf>
    <xf numFmtId="49" fontId="15" fillId="0" borderId="0" xfId="0" applyNumberFormat="1" applyFont="1"/>
    <xf numFmtId="49" fontId="16" fillId="18" borderId="1" xfId="0" applyNumberFormat="1" applyFont="1" applyFill="1" applyBorder="1" applyAlignment="1">
      <alignment horizontal="center" vertical="center"/>
    </xf>
    <xf numFmtId="49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0" fillId="15" borderId="0" xfId="0" applyFill="1" applyAlignment="1">
      <alignment horizontal="left"/>
    </xf>
    <xf numFmtId="0" fontId="0" fillId="0" borderId="0" xfId="0" applyAlignment="1">
      <alignment vertical="center"/>
    </xf>
    <xf numFmtId="0" fontId="0" fillId="3" borderId="0" xfId="0" applyFill="1" applyAlignment="1">
      <alignment vertical="center"/>
    </xf>
    <xf numFmtId="0" fontId="15" fillId="2" borderId="0" xfId="0" applyFont="1" applyFill="1"/>
    <xf numFmtId="0" fontId="0" fillId="15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49" fontId="16" fillId="5" borderId="1" xfId="0" applyNumberFormat="1" applyFont="1" applyFill="1" applyBorder="1" applyAlignment="1">
      <alignment horizontal="center" vertical="center"/>
    </xf>
    <xf numFmtId="0" fontId="16" fillId="5" borderId="1" xfId="0" applyFont="1" applyFill="1" applyBorder="1" applyAlignment="1">
      <alignment horizontal="center" vertical="center" wrapText="1"/>
    </xf>
    <xf numFmtId="0" fontId="3" fillId="5" borderId="1" xfId="0" applyFont="1" applyFill="1" applyBorder="1" applyAlignment="1">
      <alignment horizontal="center" vertical="center"/>
    </xf>
    <xf numFmtId="0" fontId="16" fillId="5" borderId="1" xfId="0" applyFont="1" applyFill="1" applyBorder="1" applyAlignment="1">
      <alignment horizontal="center" vertical="center"/>
    </xf>
    <xf numFmtId="0" fontId="0" fillId="14" borderId="0" xfId="0" applyFill="1" applyAlignment="1">
      <alignment horizontal="left"/>
    </xf>
    <xf numFmtId="49" fontId="17" fillId="5" borderId="1" xfId="0" applyNumberFormat="1" applyFont="1" applyFill="1" applyBorder="1" applyAlignment="1">
      <alignment horizontal="center" vertical="center"/>
    </xf>
    <xf numFmtId="0" fontId="17" fillId="5" borderId="1" xfId="0" applyFont="1" applyFill="1" applyBorder="1" applyAlignment="1">
      <alignment horizontal="center" vertical="center" wrapText="1"/>
    </xf>
    <xf numFmtId="49" fontId="17" fillId="5" borderId="1" xfId="0" applyNumberFormat="1" applyFont="1" applyFill="1" applyBorder="1" applyAlignment="1">
      <alignment horizontal="center" vertical="center" wrapText="1"/>
    </xf>
    <xf numFmtId="49" fontId="16" fillId="18" borderId="1" xfId="0" applyNumberFormat="1" applyFont="1" applyFill="1" applyBorder="1" applyAlignment="1">
      <alignment horizontal="center" vertical="center" wrapText="1"/>
    </xf>
    <xf numFmtId="0" fontId="16" fillId="5" borderId="1" xfId="0" applyFont="1" applyFill="1" applyBorder="1" applyAlignment="1">
      <alignment vertical="center"/>
    </xf>
    <xf numFmtId="0" fontId="16" fillId="5" borderId="1" xfId="0" applyFont="1" applyFill="1" applyBorder="1" applyAlignment="1">
      <alignment vertical="center" wrapText="1"/>
    </xf>
    <xf numFmtId="49" fontId="16" fillId="5" borderId="1" xfId="2" applyNumberFormat="1" applyFont="1" applyFill="1" applyBorder="1" applyAlignment="1">
      <alignment horizontal="center" vertical="center"/>
    </xf>
    <xf numFmtId="0" fontId="16" fillId="5" borderId="1" xfId="2" applyFont="1" applyFill="1" applyBorder="1" applyAlignment="1">
      <alignment horizontal="center" vertical="center"/>
    </xf>
    <xf numFmtId="49" fontId="16" fillId="18" borderId="1" xfId="2" applyNumberFormat="1" applyFont="1" applyFill="1" applyBorder="1" applyAlignment="1">
      <alignment horizontal="center" vertical="center"/>
    </xf>
    <xf numFmtId="0" fontId="16" fillId="18" borderId="1" xfId="2" applyFont="1" applyFill="1" applyBorder="1" applyAlignment="1">
      <alignment horizontal="center" vertical="center"/>
    </xf>
    <xf numFmtId="0" fontId="16" fillId="18" borderId="1" xfId="0" applyFont="1" applyFill="1" applyBorder="1" applyAlignment="1">
      <alignment vertical="center"/>
    </xf>
    <xf numFmtId="0" fontId="15" fillId="5" borderId="1" xfId="0" applyFont="1" applyFill="1" applyBorder="1" applyAlignment="1">
      <alignment horizontal="center" vertical="center" wrapText="1"/>
    </xf>
    <xf numFmtId="0" fontId="0" fillId="3" borderId="0" xfId="0" applyFill="1"/>
    <xf numFmtId="49" fontId="15" fillId="5" borderId="1" xfId="0" applyNumberFormat="1" applyFont="1" applyFill="1" applyBorder="1" applyAlignment="1">
      <alignment horizontal="center" vertical="center" wrapText="1"/>
    </xf>
    <xf numFmtId="0" fontId="0" fillId="5" borderId="0" xfId="0" applyFill="1"/>
    <xf numFmtId="49" fontId="15" fillId="14" borderId="0" xfId="0" applyNumberFormat="1" applyFont="1" applyFill="1"/>
    <xf numFmtId="0" fontId="15" fillId="14" borderId="0" xfId="0" applyFont="1" applyFill="1"/>
    <xf numFmtId="0" fontId="0" fillId="14" borderId="0" xfId="0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14" borderId="1" xfId="0" applyFont="1" applyFill="1" applyBorder="1" applyAlignment="1">
      <alignment horizontal="center" vertical="center" wrapText="1"/>
    </xf>
    <xf numFmtId="3" fontId="2" fillId="14" borderId="1" xfId="0" applyNumberFormat="1" applyFont="1" applyFill="1" applyBorder="1" applyAlignment="1">
      <alignment horizontal="center" vertical="center"/>
    </xf>
    <xf numFmtId="0" fontId="3" fillId="14" borderId="0" xfId="0" applyFont="1" applyFill="1"/>
    <xf numFmtId="0" fontId="3" fillId="14" borderId="1" xfId="0" applyFont="1" applyFill="1" applyBorder="1" applyAlignment="1">
      <alignment wrapText="1"/>
    </xf>
    <xf numFmtId="49" fontId="3" fillId="2" borderId="0" xfId="0" applyNumberFormat="1" applyFont="1" applyFill="1" applyAlignment="1">
      <alignment horizontal="center" vertical="center"/>
    </xf>
    <xf numFmtId="3" fontId="2" fillId="14" borderId="1" xfId="0" applyNumberFormat="1" applyFont="1" applyFill="1" applyBorder="1" applyAlignment="1">
      <alignment horizontal="center" vertical="center" wrapText="1"/>
    </xf>
    <xf numFmtId="0" fontId="2" fillId="0" borderId="0" xfId="0" applyFont="1" applyAlignment="1">
      <alignment wrapText="1"/>
    </xf>
    <xf numFmtId="0" fontId="2" fillId="15" borderId="1" xfId="0" applyFont="1" applyFill="1" applyBorder="1" applyAlignment="1">
      <alignment horizontal="center" vertical="center"/>
    </xf>
    <xf numFmtId="0" fontId="2" fillId="17" borderId="1" xfId="0" applyFont="1" applyFill="1" applyBorder="1" applyAlignment="1">
      <alignment horizontal="center" vertical="center"/>
    </xf>
    <xf numFmtId="49" fontId="3" fillId="17" borderId="1" xfId="0" applyNumberFormat="1" applyFont="1" applyFill="1" applyBorder="1" applyAlignment="1">
      <alignment horizontal="center" vertical="center"/>
    </xf>
    <xf numFmtId="49" fontId="3" fillId="15" borderId="1" xfId="0" applyNumberFormat="1" applyFont="1" applyFill="1" applyBorder="1" applyAlignment="1">
      <alignment horizontal="center" vertical="center"/>
    </xf>
    <xf numFmtId="49" fontId="2" fillId="17" borderId="1" xfId="0" applyNumberFormat="1" applyFont="1" applyFill="1" applyBorder="1" applyAlignment="1">
      <alignment horizontal="center" vertical="center"/>
    </xf>
    <xf numFmtId="49" fontId="2" fillId="15" borderId="1" xfId="0" applyNumberFormat="1" applyFont="1" applyFill="1" applyBorder="1" applyAlignment="1">
      <alignment horizontal="center" vertical="center"/>
    </xf>
    <xf numFmtId="0" fontId="5" fillId="15" borderId="1" xfId="0" applyFont="1" applyFill="1" applyBorder="1" applyAlignment="1">
      <alignment horizontal="center" vertical="center"/>
    </xf>
    <xf numFmtId="0" fontId="5" fillId="15" borderId="1" xfId="0" applyFont="1" applyFill="1" applyBorder="1" applyAlignment="1">
      <alignment horizontal="center" vertical="center" wrapText="1"/>
    </xf>
    <xf numFmtId="0" fontId="5" fillId="17" borderId="1" xfId="0" applyFont="1" applyFill="1" applyBorder="1" applyAlignment="1">
      <alignment horizontal="center" vertical="center"/>
    </xf>
    <xf numFmtId="0" fontId="19" fillId="19" borderId="1" xfId="0" applyFont="1" applyFill="1" applyBorder="1" applyAlignment="1">
      <alignment horizontal="center" vertical="center" wrapText="1"/>
    </xf>
    <xf numFmtId="0" fontId="20" fillId="3" borderId="1" xfId="0" applyFont="1" applyFill="1" applyBorder="1" applyAlignment="1">
      <alignment horizontal="center" vertical="center" wrapText="1"/>
    </xf>
    <xf numFmtId="14" fontId="20" fillId="3" borderId="1" xfId="0" applyNumberFormat="1" applyFont="1" applyFill="1" applyBorder="1" applyAlignment="1">
      <alignment horizontal="center" vertical="center" wrapText="1"/>
    </xf>
    <xf numFmtId="3" fontId="20" fillId="3" borderId="1" xfId="0" applyNumberFormat="1" applyFont="1" applyFill="1" applyBorder="1" applyAlignment="1">
      <alignment horizontal="right" vertical="center" wrapText="1"/>
    </xf>
    <xf numFmtId="3" fontId="3" fillId="3" borderId="0" xfId="0" applyNumberFormat="1" applyFont="1" applyFill="1" applyAlignment="1">
      <alignment horizontal="center" vertical="center"/>
    </xf>
    <xf numFmtId="3" fontId="21" fillId="15" borderId="1" xfId="0" applyNumberFormat="1" applyFont="1" applyFill="1" applyBorder="1" applyAlignment="1">
      <alignment horizontal="right" vertical="center"/>
    </xf>
    <xf numFmtId="0" fontId="3" fillId="3" borderId="0" xfId="0" applyFont="1" applyFill="1" applyAlignment="1">
      <alignment wrapText="1"/>
    </xf>
    <xf numFmtId="0" fontId="2" fillId="3" borderId="4" xfId="0" applyFont="1" applyFill="1" applyBorder="1" applyAlignment="1">
      <alignment horizontal="center" vertical="center" wrapText="1"/>
    </xf>
    <xf numFmtId="14" fontId="3" fillId="3" borderId="0" xfId="0" applyNumberFormat="1" applyFont="1" applyFill="1" applyAlignment="1">
      <alignment horizontal="center" vertical="center"/>
    </xf>
    <xf numFmtId="14" fontId="3" fillId="3" borderId="1" xfId="0" applyNumberFormat="1" applyFont="1" applyFill="1" applyBorder="1" applyAlignment="1">
      <alignment horizontal="center" vertical="center"/>
    </xf>
    <xf numFmtId="3" fontId="3" fillId="3" borderId="1" xfId="0" applyNumberFormat="1" applyFont="1" applyFill="1" applyBorder="1" applyAlignment="1">
      <alignment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/>
    </xf>
    <xf numFmtId="0" fontId="3" fillId="3" borderId="1" xfId="0" quotePrefix="1" applyFont="1" applyFill="1" applyBorder="1" applyAlignment="1">
      <alignment horizontal="center" vertical="center"/>
    </xf>
    <xf numFmtId="0" fontId="5" fillId="3" borderId="0" xfId="0" applyFont="1" applyFill="1"/>
    <xf numFmtId="3" fontId="3" fillId="3" borderId="1" xfId="0" applyNumberFormat="1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3" fontId="2" fillId="3" borderId="1" xfId="0" applyNumberFormat="1" applyFont="1" applyFill="1" applyBorder="1" applyAlignment="1">
      <alignment horizontal="center" vertical="center" wrapText="1"/>
    </xf>
    <xf numFmtId="0" fontId="14" fillId="3" borderId="1" xfId="0" applyFont="1" applyFill="1" applyBorder="1" applyAlignment="1">
      <alignment horizontal="center" vertical="center" wrapText="1"/>
    </xf>
    <xf numFmtId="49" fontId="3" fillId="3" borderId="0" xfId="0" applyNumberFormat="1" applyFont="1" applyFill="1" applyAlignment="1">
      <alignment horizontal="center" vertical="center"/>
    </xf>
    <xf numFmtId="0" fontId="3" fillId="3" borderId="3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3" fillId="3" borderId="1" xfId="2" applyFont="1" applyFill="1" applyBorder="1" applyAlignment="1">
      <alignment horizontal="center" vertical="center"/>
    </xf>
    <xf numFmtId="0" fontId="3" fillId="3" borderId="0" xfId="2" applyFont="1" applyFill="1"/>
    <xf numFmtId="0" fontId="3" fillId="3" borderId="1" xfId="0" applyFont="1" applyFill="1" applyBorder="1"/>
    <xf numFmtId="3" fontId="3" fillId="3" borderId="0" xfId="0" applyNumberFormat="1" applyFont="1" applyFill="1"/>
    <xf numFmtId="0" fontId="23" fillId="3" borderId="1" xfId="0" applyFont="1" applyFill="1" applyBorder="1" applyAlignment="1">
      <alignment horizontal="center" vertical="center"/>
    </xf>
    <xf numFmtId="0" fontId="21" fillId="15" borderId="1" xfId="0" applyFont="1" applyFill="1" applyBorder="1" applyAlignment="1">
      <alignment horizontal="center" vertical="center"/>
    </xf>
    <xf numFmtId="0" fontId="22" fillId="15" borderId="1" xfId="0" applyFont="1" applyFill="1" applyBorder="1" applyAlignment="1">
      <alignment horizontal="center" vertical="center"/>
    </xf>
    <xf numFmtId="3" fontId="2" fillId="0" borderId="7" xfId="0" applyNumberFormat="1" applyFont="1" applyBorder="1" applyAlignment="1">
      <alignment horizontal="center" wrapText="1"/>
    </xf>
    <xf numFmtId="0" fontId="2" fillId="0" borderId="7" xfId="0" applyFont="1" applyBorder="1" applyAlignment="1">
      <alignment horizontal="center" wrapText="1"/>
    </xf>
    <xf numFmtId="49" fontId="18" fillId="4" borderId="0" xfId="0" applyNumberFormat="1" applyFont="1" applyFill="1" applyAlignment="1">
      <alignment horizontal="center" vertical="center" wrapText="1"/>
    </xf>
    <xf numFmtId="0" fontId="18" fillId="5" borderId="6" xfId="0" applyFont="1" applyFill="1" applyBorder="1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</cellXfs>
  <cellStyles count="4">
    <cellStyle name="Comma" xfId="1" builtinId="3"/>
    <cellStyle name="Normal" xfId="0" builtinId="0"/>
    <cellStyle name="Normal 2" xfId="3" xr:uid="{54AE4DFF-B77E-4944-B593-2E1B77BDEDE6}"/>
    <cellStyle name="Normal_PXK" xfId="2" xr:uid="{00000000-0005-0000-0000-000008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Tam Phan" id="{203870B4-7E98-4DF2-ABF0-86A118F7FA1C}" userId="cbbf673b105610de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14" dT="2025-12-05T05:21:00.44" personId="{203870B4-7E98-4DF2-ABF0-86A118F7FA1C}" id="{43CA6214-79BF-445A-8E51-ADB4C4451316}">
    <text>Không có thông tin trên hóa đơn</text>
  </threadedComment>
  <threadedComment ref="C49" dT="2025-12-02T08:03:21.83" personId="{203870B4-7E98-4DF2-ABF0-86A118F7FA1C}" id="{5F824FEE-92A8-4311-AD4D-6463FDCAB0B3}">
    <text>Sang tên từ Cao Su Bình Dương qua</text>
  </threadedComment>
  <threadedComment ref="C50" dT="2025-12-02T08:03:21.83" personId="{203870B4-7E98-4DF2-ABF0-86A118F7FA1C}" id="{BFA517A0-1098-47E3-A64D-625E7F91DE48}">
    <text>Sang tên từ Huỳnh Kim Thảo qua</text>
  </threadedComment>
  <threadedComment ref="C51" dT="2025-12-02T08:03:21.83" personId="{203870B4-7E98-4DF2-ABF0-86A118F7FA1C}" id="{76A29819-24B0-42D4-A791-7B1A1A5897BD}">
    <text>Sang tên từ Cao Su Bình Dương qua</text>
  </threadedComment>
  <threadedComment ref="C52" dT="2025-12-02T08:03:21.83" personId="{203870B4-7E98-4DF2-ABF0-86A118F7FA1C}" id="{437AC8BF-4154-4FDE-AAB7-DBD761D110BD}">
    <text>Sang tên từ Cao Su Bình Dương qua</text>
  </threadedComment>
  <threadedComment ref="C53" dT="2025-12-02T08:03:21.83" personId="{203870B4-7E98-4DF2-ABF0-86A118F7FA1C}" id="{C874E8DA-02AE-4584-B820-231552939272}">
    <text>Sang tên từ Cao Su Bình Dương qua</text>
  </threadedComment>
  <threadedComment ref="C54" dT="2025-12-02T08:03:21.83" personId="{203870B4-7E98-4DF2-ABF0-86A118F7FA1C}" id="{1B295185-C578-4FB5-AF95-6DF565719C47}">
    <text>Sang tên từ Cao Su Bình Dương qua</text>
  </threadedComment>
  <threadedComment ref="C55" dT="2025-12-02T08:03:21.83" personId="{203870B4-7E98-4DF2-ABF0-86A118F7FA1C}" id="{F029D1AF-5D08-4181-A48B-D2758603E874}">
    <text>Sang tên từ Cao Su Bình Dương qua</text>
  </threadedComment>
  <threadedComment ref="C56" dT="2025-12-02T08:03:21.83" personId="{203870B4-7E98-4DF2-ABF0-86A118F7FA1C}" id="{869189A4-1BC8-4ADE-9967-B9B57A9055CD}">
    <text>Sang tên từ Cao Su Bình Dương qua</text>
  </threadedComment>
  <threadedComment ref="C57" dT="2025-12-02T08:03:21.83" personId="{203870B4-7E98-4DF2-ABF0-86A118F7FA1C}" id="{F5A2F380-BDD0-4996-B24D-5B105FDFCB7C}">
    <text>Sang tên từ Cao Su Bình Dương qua</text>
  </threadedComment>
  <threadedComment ref="C58" dT="2025-12-02T08:03:21.83" personId="{203870B4-7E98-4DF2-ABF0-86A118F7FA1C}" id="{43D54063-5160-44C3-9F2D-E3FCDF29AF32}">
    <text>Sang tên từ Cao Su Bình Dương qua</text>
  </threadedComment>
  <threadedComment ref="C59" dT="2025-12-02T08:03:21.83" personId="{203870B4-7E98-4DF2-ABF0-86A118F7FA1C}" id="{5796CE8D-8347-46FD-9E8E-A6D1822B1838}">
    <text>Sang tên từ Cao Su Bình Dương qua</text>
  </threadedComment>
  <threadedComment ref="C60" dT="2025-12-02T08:03:21.83" personId="{203870B4-7E98-4DF2-ABF0-86A118F7FA1C}" id="{8FB1704A-073C-454C-BE65-0373E63CEBBE}">
    <text>Sang tên từ Cao Su Bình Dương qua</text>
  </threadedComment>
  <threadedComment ref="C61" dT="2025-12-02T08:03:21.83" personId="{203870B4-7E98-4DF2-ABF0-86A118F7FA1C}" id="{D09795A1-F801-4A82-BE7D-C98174453D43}">
    <text>Sang tên từ Cao Su Bình Dương qua</text>
  </threadedComment>
  <threadedComment ref="C62" dT="2025-12-02T08:03:21.83" personId="{203870B4-7E98-4DF2-ABF0-86A118F7FA1C}" id="{5D4F370E-A3D9-44B2-8BFE-343584EE5113}">
    <text>Sang tên từ Cao Su Bình Dương qua</text>
  </threadedComment>
  <threadedComment ref="C63" dT="2025-12-02T08:03:21.83" personId="{203870B4-7E98-4DF2-ABF0-86A118F7FA1C}" id="{AC2003C6-077E-44C8-9C05-7A5C3CE9FAA4}">
    <text>Sang tên từ Cao Su Bình Dương qua</text>
  </threadedComment>
  <threadedComment ref="C64" dT="2025-12-02T08:03:21.83" personId="{203870B4-7E98-4DF2-ABF0-86A118F7FA1C}" id="{9052BB4E-9FC5-451A-865A-768D17513346}">
    <text>Sang tên từ Cao Su Bình Dương qua</text>
  </threadedComment>
  <threadedComment ref="C65" dT="2025-12-02T08:03:21.83" personId="{203870B4-7E98-4DF2-ABF0-86A118F7FA1C}" id="{093A357C-F449-4537-BA06-897C39299E1D}">
    <text>Sang tên từ Cao Su Bình Dương qua</text>
  </threadedComment>
  <threadedComment ref="C66" dT="2025-12-02T08:03:21.83" personId="{203870B4-7E98-4DF2-ABF0-86A118F7FA1C}" id="{613DE458-99CE-45A4-8B93-71AEAB9800F6}">
    <text>Sang tên từ Cao Su Bình Dương qua</text>
  </threadedComment>
  <threadedComment ref="C67" dT="2025-12-02T08:03:21.83" personId="{203870B4-7E98-4DF2-ABF0-86A118F7FA1C}" id="{D59EF745-610D-4B01-B989-7770D3CC3D54}">
    <text>Sang tên từ Cao Su Bình Dương qua</text>
  </threadedComment>
  <threadedComment ref="C68" dT="2025-12-02T08:03:21.83" personId="{203870B4-7E98-4DF2-ABF0-86A118F7FA1C}" id="{2B4B1216-682B-44CF-9A8F-92BDCDEC85C9}">
    <text>Sang tên từ Cao Su Bình Dương qua</text>
  </threadedComment>
  <threadedComment ref="C69" dT="2025-12-02T08:03:21.83" personId="{203870B4-7E98-4DF2-ABF0-86A118F7FA1C}" id="{B9FB59D4-4970-470B-8C24-B76AD3CA5185}">
    <text>Sang tên từ Cao Su Bình Dương qua</text>
  </threadedComment>
  <threadedComment ref="C70" dT="2025-12-02T08:03:21.83" personId="{203870B4-7E98-4DF2-ABF0-86A118F7FA1C}" id="{5400DBD4-746E-4A9C-88B7-68BC8E6F0B27}">
    <text>Sang tên từ Cao Su Bình Dương qua</text>
  </threadedComment>
  <threadedComment ref="D241" dT="2025-12-03T13:56:37.98" personId="{203870B4-7E98-4DF2-ABF0-86A118F7FA1C}" id="{B61340F9-C7FC-4569-9974-B1F5ACA9A694}">
    <text>Không đăng ký mã là sđt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H16" dT="2025-12-03T13:56:37.98" personId="{203870B4-7E98-4DF2-ABF0-86A118F7FA1C}" id="{88F0C762-9B04-4809-89E4-D18A4E176A5C}">
    <text>Không đăng ký mã là sđt</text>
  </threadedComment>
  <threadedComment ref="R48" dT="2025-10-02T17:00:27.31" personId="{203870B4-7E98-4DF2-ABF0-86A118F7FA1C}" id="{DE112376-968C-4B22-9207-7A8BA72D1823}">
    <text>Địa chỉ không có số nhà</text>
  </threadedComment>
  <threadedComment ref="S48" dT="2025-09-03T02:38:22.49" personId="{203870B4-7E98-4DF2-ABF0-86A118F7FA1C}" id="{5D051038-8EEE-49BD-A8AA-7D6FB77592C5}">
    <text>Địa chỉ không có số nhà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C2" dT="2025-10-07T02:12:32.98" personId="{203870B4-7E98-4DF2-ABF0-86A118F7FA1C}" id="{05F1AFC6-1336-4754-9408-4DC67087C2FF}">
    <text>Đấu rồi chưa sd cạnh cty, 2 căn góc; đã thu hồi đồng hồ và thanh lý hợp đồng</text>
  </threadedComment>
  <threadedComment ref="C3" dT="2025-10-07T02:12:32.98" personId="{203870B4-7E98-4DF2-ABF0-86A118F7FA1C}" id="{5CDF4BD4-2D72-49F5-9FB3-F43B0B8B3689}">
    <text>Đấu rồi chưa sd cạnh cty, 2 căn góc; đã thu hồi đồng hồ và thanh lý hợp đồng</text>
  </threadedComment>
  <threadedComment ref="C4" dT="2025-10-07T02:12:32.98" personId="{203870B4-7E98-4DF2-ABF0-86A118F7FA1C}" id="{305B08B8-4DF1-45EB-B060-BA44CBAF901A}">
    <text>Đấu rồi chưa sd cạnh cty, 2 căn góc; đã thu hồi đồng hồ và thanh lý hợp đồng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AJ38" dT="2025-10-07T02:12:32.98" personId="{203870B4-7E98-4DF2-ABF0-86A118F7FA1C}" id="{D65870A0-6214-4C8B-B30C-4B47B39E3E71}">
    <text>Đấu rồi chưa sd cạnh cty, 2 căn góc; đã thu hồi đồng hồ và thanh lý hợp đồng</text>
  </threadedComment>
  <threadedComment ref="AJ39" dT="2025-10-07T02:12:32.98" personId="{203870B4-7E98-4DF2-ABF0-86A118F7FA1C}" id="{CF2DCBDB-5488-4AC1-8411-691DA5FC74BF}">
    <text>Đấu rồi chưa sd cạnh cty, 2 căn góc; đã thu hồi đồng hồ và thanh lý hợp đồng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4" Type="http://schemas.microsoft.com/office/2017/10/relationships/threadedComment" Target="../threadedComments/threadedComment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Relationship Id="rId4" Type="http://schemas.microsoft.com/office/2017/10/relationships/threadedComment" Target="../threadedComments/threadedComment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4.xml"/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3B028D-B638-4916-ABBB-0703FAF229AF}">
  <sheetPr codeName="Sheet1">
    <pageSetUpPr fitToPage="1"/>
  </sheetPr>
  <dimension ref="A1:P322"/>
  <sheetViews>
    <sheetView tabSelected="1" zoomScale="70" zoomScaleNormal="70" workbookViewId="0">
      <pane ySplit="1" topLeftCell="A310" activePane="bottomLeft" state="frozen"/>
      <selection pane="bottomLeft" activeCell="L144" sqref="L144"/>
    </sheetView>
  </sheetViews>
  <sheetFormatPr defaultColWidth="7" defaultRowHeight="18.75" x14ac:dyDescent="0.3"/>
  <cols>
    <col min="1" max="1" width="5.77734375" style="71" customWidth="1"/>
    <col min="2" max="2" width="52.6640625" style="71" hidden="1" customWidth="1"/>
    <col min="3" max="3" width="17.88671875" style="69" customWidth="1"/>
    <col min="4" max="4" width="29.6640625" style="168" customWidth="1"/>
    <col min="5" max="11" width="12" style="166" hidden="1" customWidth="1"/>
    <col min="12" max="12" width="24.21875" style="69" customWidth="1"/>
    <col min="13" max="13" width="11.5546875" style="69" customWidth="1"/>
    <col min="14" max="14" width="16.109375" style="71" bestFit="1" customWidth="1"/>
    <col min="15" max="15" width="7" style="69"/>
    <col min="16" max="16" width="9.109375" style="69" bestFit="1" customWidth="1"/>
    <col min="17" max="239" width="7" style="69"/>
    <col min="240" max="240" width="4.109375" style="69" customWidth="1"/>
    <col min="241" max="241" width="3.6640625" style="69" customWidth="1"/>
    <col min="242" max="242" width="4.88671875" style="69" customWidth="1"/>
    <col min="243" max="243" width="10.33203125" style="69" customWidth="1"/>
    <col min="244" max="244" width="13.33203125" style="69" customWidth="1"/>
    <col min="245" max="245" width="5.5546875" style="69" customWidth="1"/>
    <col min="246" max="246" width="6.44140625" style="69" customWidth="1"/>
    <col min="247" max="247" width="11.6640625" style="69" customWidth="1"/>
    <col min="248" max="248" width="10.44140625" style="69" customWidth="1"/>
    <col min="249" max="249" width="13.44140625" style="69" customWidth="1"/>
    <col min="250" max="495" width="7" style="69"/>
    <col min="496" max="496" width="4.109375" style="69" customWidth="1"/>
    <col min="497" max="497" width="3.6640625" style="69" customWidth="1"/>
    <col min="498" max="498" width="4.88671875" style="69" customWidth="1"/>
    <col min="499" max="499" width="10.33203125" style="69" customWidth="1"/>
    <col min="500" max="500" width="13.33203125" style="69" customWidth="1"/>
    <col min="501" max="501" width="5.5546875" style="69" customWidth="1"/>
    <col min="502" max="502" width="6.44140625" style="69" customWidth="1"/>
    <col min="503" max="503" width="11.6640625" style="69" customWidth="1"/>
    <col min="504" max="504" width="10.44140625" style="69" customWidth="1"/>
    <col min="505" max="505" width="13.44140625" style="69" customWidth="1"/>
    <col min="506" max="751" width="7" style="69"/>
    <col min="752" max="752" width="4.109375" style="69" customWidth="1"/>
    <col min="753" max="753" width="3.6640625" style="69" customWidth="1"/>
    <col min="754" max="754" width="4.88671875" style="69" customWidth="1"/>
    <col min="755" max="755" width="10.33203125" style="69" customWidth="1"/>
    <col min="756" max="756" width="13.33203125" style="69" customWidth="1"/>
    <col min="757" max="757" width="5.5546875" style="69" customWidth="1"/>
    <col min="758" max="758" width="6.44140625" style="69" customWidth="1"/>
    <col min="759" max="759" width="11.6640625" style="69" customWidth="1"/>
    <col min="760" max="760" width="10.44140625" style="69" customWidth="1"/>
    <col min="761" max="761" width="13.44140625" style="69" customWidth="1"/>
    <col min="762" max="1007" width="7" style="69"/>
    <col min="1008" max="1008" width="4.109375" style="69" customWidth="1"/>
    <col min="1009" max="1009" width="3.6640625" style="69" customWidth="1"/>
    <col min="1010" max="1010" width="4.88671875" style="69" customWidth="1"/>
    <col min="1011" max="1011" width="10.33203125" style="69" customWidth="1"/>
    <col min="1012" max="1012" width="13.33203125" style="69" customWidth="1"/>
    <col min="1013" max="1013" width="5.5546875" style="69" customWidth="1"/>
    <col min="1014" max="1014" width="6.44140625" style="69" customWidth="1"/>
    <col min="1015" max="1015" width="11.6640625" style="69" customWidth="1"/>
    <col min="1016" max="1016" width="10.44140625" style="69" customWidth="1"/>
    <col min="1017" max="1017" width="13.44140625" style="69" customWidth="1"/>
    <col min="1018" max="1263" width="7" style="69"/>
    <col min="1264" max="1264" width="4.109375" style="69" customWidth="1"/>
    <col min="1265" max="1265" width="3.6640625" style="69" customWidth="1"/>
    <col min="1266" max="1266" width="4.88671875" style="69" customWidth="1"/>
    <col min="1267" max="1267" width="10.33203125" style="69" customWidth="1"/>
    <col min="1268" max="1268" width="13.33203125" style="69" customWidth="1"/>
    <col min="1269" max="1269" width="5.5546875" style="69" customWidth="1"/>
    <col min="1270" max="1270" width="6.44140625" style="69" customWidth="1"/>
    <col min="1271" max="1271" width="11.6640625" style="69" customWidth="1"/>
    <col min="1272" max="1272" width="10.44140625" style="69" customWidth="1"/>
    <col min="1273" max="1273" width="13.44140625" style="69" customWidth="1"/>
    <col min="1274" max="1519" width="7" style="69"/>
    <col min="1520" max="1520" width="4.109375" style="69" customWidth="1"/>
    <col min="1521" max="1521" width="3.6640625" style="69" customWidth="1"/>
    <col min="1522" max="1522" width="4.88671875" style="69" customWidth="1"/>
    <col min="1523" max="1523" width="10.33203125" style="69" customWidth="1"/>
    <col min="1524" max="1524" width="13.33203125" style="69" customWidth="1"/>
    <col min="1525" max="1525" width="5.5546875" style="69" customWidth="1"/>
    <col min="1526" max="1526" width="6.44140625" style="69" customWidth="1"/>
    <col min="1527" max="1527" width="11.6640625" style="69" customWidth="1"/>
    <col min="1528" max="1528" width="10.44140625" style="69" customWidth="1"/>
    <col min="1529" max="1529" width="13.44140625" style="69" customWidth="1"/>
    <col min="1530" max="1775" width="7" style="69"/>
    <col min="1776" max="1776" width="4.109375" style="69" customWidth="1"/>
    <col min="1777" max="1777" width="3.6640625" style="69" customWidth="1"/>
    <col min="1778" max="1778" width="4.88671875" style="69" customWidth="1"/>
    <col min="1779" max="1779" width="10.33203125" style="69" customWidth="1"/>
    <col min="1780" max="1780" width="13.33203125" style="69" customWidth="1"/>
    <col min="1781" max="1781" width="5.5546875" style="69" customWidth="1"/>
    <col min="1782" max="1782" width="6.44140625" style="69" customWidth="1"/>
    <col min="1783" max="1783" width="11.6640625" style="69" customWidth="1"/>
    <col min="1784" max="1784" width="10.44140625" style="69" customWidth="1"/>
    <col min="1785" max="1785" width="13.44140625" style="69" customWidth="1"/>
    <col min="1786" max="2031" width="7" style="69"/>
    <col min="2032" max="2032" width="4.109375" style="69" customWidth="1"/>
    <col min="2033" max="2033" width="3.6640625" style="69" customWidth="1"/>
    <col min="2034" max="2034" width="4.88671875" style="69" customWidth="1"/>
    <col min="2035" max="2035" width="10.33203125" style="69" customWidth="1"/>
    <col min="2036" max="2036" width="13.33203125" style="69" customWidth="1"/>
    <col min="2037" max="2037" width="5.5546875" style="69" customWidth="1"/>
    <col min="2038" max="2038" width="6.44140625" style="69" customWidth="1"/>
    <col min="2039" max="2039" width="11.6640625" style="69" customWidth="1"/>
    <col min="2040" max="2040" width="10.44140625" style="69" customWidth="1"/>
    <col min="2041" max="2041" width="13.44140625" style="69" customWidth="1"/>
    <col min="2042" max="2287" width="7" style="69"/>
    <col min="2288" max="2288" width="4.109375" style="69" customWidth="1"/>
    <col min="2289" max="2289" width="3.6640625" style="69" customWidth="1"/>
    <col min="2290" max="2290" width="4.88671875" style="69" customWidth="1"/>
    <col min="2291" max="2291" width="10.33203125" style="69" customWidth="1"/>
    <col min="2292" max="2292" width="13.33203125" style="69" customWidth="1"/>
    <col min="2293" max="2293" width="5.5546875" style="69" customWidth="1"/>
    <col min="2294" max="2294" width="6.44140625" style="69" customWidth="1"/>
    <col min="2295" max="2295" width="11.6640625" style="69" customWidth="1"/>
    <col min="2296" max="2296" width="10.44140625" style="69" customWidth="1"/>
    <col min="2297" max="2297" width="13.44140625" style="69" customWidth="1"/>
    <col min="2298" max="2543" width="7" style="69"/>
    <col min="2544" max="2544" width="4.109375" style="69" customWidth="1"/>
    <col min="2545" max="2545" width="3.6640625" style="69" customWidth="1"/>
    <col min="2546" max="2546" width="4.88671875" style="69" customWidth="1"/>
    <col min="2547" max="2547" width="10.33203125" style="69" customWidth="1"/>
    <col min="2548" max="2548" width="13.33203125" style="69" customWidth="1"/>
    <col min="2549" max="2549" width="5.5546875" style="69" customWidth="1"/>
    <col min="2550" max="2550" width="6.44140625" style="69" customWidth="1"/>
    <col min="2551" max="2551" width="11.6640625" style="69" customWidth="1"/>
    <col min="2552" max="2552" width="10.44140625" style="69" customWidth="1"/>
    <col min="2553" max="2553" width="13.44140625" style="69" customWidth="1"/>
    <col min="2554" max="2799" width="7" style="69"/>
    <col min="2800" max="2800" width="4.109375" style="69" customWidth="1"/>
    <col min="2801" max="2801" width="3.6640625" style="69" customWidth="1"/>
    <col min="2802" max="2802" width="4.88671875" style="69" customWidth="1"/>
    <col min="2803" max="2803" width="10.33203125" style="69" customWidth="1"/>
    <col min="2804" max="2804" width="13.33203125" style="69" customWidth="1"/>
    <col min="2805" max="2805" width="5.5546875" style="69" customWidth="1"/>
    <col min="2806" max="2806" width="6.44140625" style="69" customWidth="1"/>
    <col min="2807" max="2807" width="11.6640625" style="69" customWidth="1"/>
    <col min="2808" max="2808" width="10.44140625" style="69" customWidth="1"/>
    <col min="2809" max="2809" width="13.44140625" style="69" customWidth="1"/>
    <col min="2810" max="3055" width="7" style="69"/>
    <col min="3056" max="3056" width="4.109375" style="69" customWidth="1"/>
    <col min="3057" max="3057" width="3.6640625" style="69" customWidth="1"/>
    <col min="3058" max="3058" width="4.88671875" style="69" customWidth="1"/>
    <col min="3059" max="3059" width="10.33203125" style="69" customWidth="1"/>
    <col min="3060" max="3060" width="13.33203125" style="69" customWidth="1"/>
    <col min="3061" max="3061" width="5.5546875" style="69" customWidth="1"/>
    <col min="3062" max="3062" width="6.44140625" style="69" customWidth="1"/>
    <col min="3063" max="3063" width="11.6640625" style="69" customWidth="1"/>
    <col min="3064" max="3064" width="10.44140625" style="69" customWidth="1"/>
    <col min="3065" max="3065" width="13.44140625" style="69" customWidth="1"/>
    <col min="3066" max="3311" width="7" style="69"/>
    <col min="3312" max="3312" width="4.109375" style="69" customWidth="1"/>
    <col min="3313" max="3313" width="3.6640625" style="69" customWidth="1"/>
    <col min="3314" max="3314" width="4.88671875" style="69" customWidth="1"/>
    <col min="3315" max="3315" width="10.33203125" style="69" customWidth="1"/>
    <col min="3316" max="3316" width="13.33203125" style="69" customWidth="1"/>
    <col min="3317" max="3317" width="5.5546875" style="69" customWidth="1"/>
    <col min="3318" max="3318" width="6.44140625" style="69" customWidth="1"/>
    <col min="3319" max="3319" width="11.6640625" style="69" customWidth="1"/>
    <col min="3320" max="3320" width="10.44140625" style="69" customWidth="1"/>
    <col min="3321" max="3321" width="13.44140625" style="69" customWidth="1"/>
    <col min="3322" max="3567" width="7" style="69"/>
    <col min="3568" max="3568" width="4.109375" style="69" customWidth="1"/>
    <col min="3569" max="3569" width="3.6640625" style="69" customWidth="1"/>
    <col min="3570" max="3570" width="4.88671875" style="69" customWidth="1"/>
    <col min="3571" max="3571" width="10.33203125" style="69" customWidth="1"/>
    <col min="3572" max="3572" width="13.33203125" style="69" customWidth="1"/>
    <col min="3573" max="3573" width="5.5546875" style="69" customWidth="1"/>
    <col min="3574" max="3574" width="6.44140625" style="69" customWidth="1"/>
    <col min="3575" max="3575" width="11.6640625" style="69" customWidth="1"/>
    <col min="3576" max="3576" width="10.44140625" style="69" customWidth="1"/>
    <col min="3577" max="3577" width="13.44140625" style="69" customWidth="1"/>
    <col min="3578" max="3823" width="7" style="69"/>
    <col min="3824" max="3824" width="4.109375" style="69" customWidth="1"/>
    <col min="3825" max="3825" width="3.6640625" style="69" customWidth="1"/>
    <col min="3826" max="3826" width="4.88671875" style="69" customWidth="1"/>
    <col min="3827" max="3827" width="10.33203125" style="69" customWidth="1"/>
    <col min="3828" max="3828" width="13.33203125" style="69" customWidth="1"/>
    <col min="3829" max="3829" width="5.5546875" style="69" customWidth="1"/>
    <col min="3830" max="3830" width="6.44140625" style="69" customWidth="1"/>
    <col min="3831" max="3831" width="11.6640625" style="69" customWidth="1"/>
    <col min="3832" max="3832" width="10.44140625" style="69" customWidth="1"/>
    <col min="3833" max="3833" width="13.44140625" style="69" customWidth="1"/>
    <col min="3834" max="4079" width="7" style="69"/>
    <col min="4080" max="4080" width="4.109375" style="69" customWidth="1"/>
    <col min="4081" max="4081" width="3.6640625" style="69" customWidth="1"/>
    <col min="4082" max="4082" width="4.88671875" style="69" customWidth="1"/>
    <col min="4083" max="4083" width="10.33203125" style="69" customWidth="1"/>
    <col min="4084" max="4084" width="13.33203125" style="69" customWidth="1"/>
    <col min="4085" max="4085" width="5.5546875" style="69" customWidth="1"/>
    <col min="4086" max="4086" width="6.44140625" style="69" customWidth="1"/>
    <col min="4087" max="4087" width="11.6640625" style="69" customWidth="1"/>
    <col min="4088" max="4088" width="10.44140625" style="69" customWidth="1"/>
    <col min="4089" max="4089" width="13.44140625" style="69" customWidth="1"/>
    <col min="4090" max="4335" width="7" style="69"/>
    <col min="4336" max="4336" width="4.109375" style="69" customWidth="1"/>
    <col min="4337" max="4337" width="3.6640625" style="69" customWidth="1"/>
    <col min="4338" max="4338" width="4.88671875" style="69" customWidth="1"/>
    <col min="4339" max="4339" width="10.33203125" style="69" customWidth="1"/>
    <col min="4340" max="4340" width="13.33203125" style="69" customWidth="1"/>
    <col min="4341" max="4341" width="5.5546875" style="69" customWidth="1"/>
    <col min="4342" max="4342" width="6.44140625" style="69" customWidth="1"/>
    <col min="4343" max="4343" width="11.6640625" style="69" customWidth="1"/>
    <col min="4344" max="4344" width="10.44140625" style="69" customWidth="1"/>
    <col min="4345" max="4345" width="13.44140625" style="69" customWidth="1"/>
    <col min="4346" max="4591" width="7" style="69"/>
    <col min="4592" max="4592" width="4.109375" style="69" customWidth="1"/>
    <col min="4593" max="4593" width="3.6640625" style="69" customWidth="1"/>
    <col min="4594" max="4594" width="4.88671875" style="69" customWidth="1"/>
    <col min="4595" max="4595" width="10.33203125" style="69" customWidth="1"/>
    <col min="4596" max="4596" width="13.33203125" style="69" customWidth="1"/>
    <col min="4597" max="4597" width="5.5546875" style="69" customWidth="1"/>
    <col min="4598" max="4598" width="6.44140625" style="69" customWidth="1"/>
    <col min="4599" max="4599" width="11.6640625" style="69" customWidth="1"/>
    <col min="4600" max="4600" width="10.44140625" style="69" customWidth="1"/>
    <col min="4601" max="4601" width="13.44140625" style="69" customWidth="1"/>
    <col min="4602" max="4847" width="7" style="69"/>
    <col min="4848" max="4848" width="4.109375" style="69" customWidth="1"/>
    <col min="4849" max="4849" width="3.6640625" style="69" customWidth="1"/>
    <col min="4850" max="4850" width="4.88671875" style="69" customWidth="1"/>
    <col min="4851" max="4851" width="10.33203125" style="69" customWidth="1"/>
    <col min="4852" max="4852" width="13.33203125" style="69" customWidth="1"/>
    <col min="4853" max="4853" width="5.5546875" style="69" customWidth="1"/>
    <col min="4854" max="4854" width="6.44140625" style="69" customWidth="1"/>
    <col min="4855" max="4855" width="11.6640625" style="69" customWidth="1"/>
    <col min="4856" max="4856" width="10.44140625" style="69" customWidth="1"/>
    <col min="4857" max="4857" width="13.44140625" style="69" customWidth="1"/>
    <col min="4858" max="5103" width="7" style="69"/>
    <col min="5104" max="5104" width="4.109375" style="69" customWidth="1"/>
    <col min="5105" max="5105" width="3.6640625" style="69" customWidth="1"/>
    <col min="5106" max="5106" width="4.88671875" style="69" customWidth="1"/>
    <col min="5107" max="5107" width="10.33203125" style="69" customWidth="1"/>
    <col min="5108" max="5108" width="13.33203125" style="69" customWidth="1"/>
    <col min="5109" max="5109" width="5.5546875" style="69" customWidth="1"/>
    <col min="5110" max="5110" width="6.44140625" style="69" customWidth="1"/>
    <col min="5111" max="5111" width="11.6640625" style="69" customWidth="1"/>
    <col min="5112" max="5112" width="10.44140625" style="69" customWidth="1"/>
    <col min="5113" max="5113" width="13.44140625" style="69" customWidth="1"/>
    <col min="5114" max="5359" width="7" style="69"/>
    <col min="5360" max="5360" width="4.109375" style="69" customWidth="1"/>
    <col min="5361" max="5361" width="3.6640625" style="69" customWidth="1"/>
    <col min="5362" max="5362" width="4.88671875" style="69" customWidth="1"/>
    <col min="5363" max="5363" width="10.33203125" style="69" customWidth="1"/>
    <col min="5364" max="5364" width="13.33203125" style="69" customWidth="1"/>
    <col min="5365" max="5365" width="5.5546875" style="69" customWidth="1"/>
    <col min="5366" max="5366" width="6.44140625" style="69" customWidth="1"/>
    <col min="5367" max="5367" width="11.6640625" style="69" customWidth="1"/>
    <col min="5368" max="5368" width="10.44140625" style="69" customWidth="1"/>
    <col min="5369" max="5369" width="13.44140625" style="69" customWidth="1"/>
    <col min="5370" max="5615" width="7" style="69"/>
    <col min="5616" max="5616" width="4.109375" style="69" customWidth="1"/>
    <col min="5617" max="5617" width="3.6640625" style="69" customWidth="1"/>
    <col min="5618" max="5618" width="4.88671875" style="69" customWidth="1"/>
    <col min="5619" max="5619" width="10.33203125" style="69" customWidth="1"/>
    <col min="5620" max="5620" width="13.33203125" style="69" customWidth="1"/>
    <col min="5621" max="5621" width="5.5546875" style="69" customWidth="1"/>
    <col min="5622" max="5622" width="6.44140625" style="69" customWidth="1"/>
    <col min="5623" max="5623" width="11.6640625" style="69" customWidth="1"/>
    <col min="5624" max="5624" width="10.44140625" style="69" customWidth="1"/>
    <col min="5625" max="5625" width="13.44140625" style="69" customWidth="1"/>
    <col min="5626" max="5871" width="7" style="69"/>
    <col min="5872" max="5872" width="4.109375" style="69" customWidth="1"/>
    <col min="5873" max="5873" width="3.6640625" style="69" customWidth="1"/>
    <col min="5874" max="5874" width="4.88671875" style="69" customWidth="1"/>
    <col min="5875" max="5875" width="10.33203125" style="69" customWidth="1"/>
    <col min="5876" max="5876" width="13.33203125" style="69" customWidth="1"/>
    <col min="5877" max="5877" width="5.5546875" style="69" customWidth="1"/>
    <col min="5878" max="5878" width="6.44140625" style="69" customWidth="1"/>
    <col min="5879" max="5879" width="11.6640625" style="69" customWidth="1"/>
    <col min="5880" max="5880" width="10.44140625" style="69" customWidth="1"/>
    <col min="5881" max="5881" width="13.44140625" style="69" customWidth="1"/>
    <col min="5882" max="6127" width="7" style="69"/>
    <col min="6128" max="6128" width="4.109375" style="69" customWidth="1"/>
    <col min="6129" max="6129" width="3.6640625" style="69" customWidth="1"/>
    <col min="6130" max="6130" width="4.88671875" style="69" customWidth="1"/>
    <col min="6131" max="6131" width="10.33203125" style="69" customWidth="1"/>
    <col min="6132" max="6132" width="13.33203125" style="69" customWidth="1"/>
    <col min="6133" max="6133" width="5.5546875" style="69" customWidth="1"/>
    <col min="6134" max="6134" width="6.44140625" style="69" customWidth="1"/>
    <col min="6135" max="6135" width="11.6640625" style="69" customWidth="1"/>
    <col min="6136" max="6136" width="10.44140625" style="69" customWidth="1"/>
    <col min="6137" max="6137" width="13.44140625" style="69" customWidth="1"/>
    <col min="6138" max="6383" width="7" style="69"/>
    <col min="6384" max="6384" width="4.109375" style="69" customWidth="1"/>
    <col min="6385" max="6385" width="3.6640625" style="69" customWidth="1"/>
    <col min="6386" max="6386" width="4.88671875" style="69" customWidth="1"/>
    <col min="6387" max="6387" width="10.33203125" style="69" customWidth="1"/>
    <col min="6388" max="6388" width="13.33203125" style="69" customWidth="1"/>
    <col min="6389" max="6389" width="5.5546875" style="69" customWidth="1"/>
    <col min="6390" max="6390" width="6.44140625" style="69" customWidth="1"/>
    <col min="6391" max="6391" width="11.6640625" style="69" customWidth="1"/>
    <col min="6392" max="6392" width="10.44140625" style="69" customWidth="1"/>
    <col min="6393" max="6393" width="13.44140625" style="69" customWidth="1"/>
    <col min="6394" max="6639" width="7" style="69"/>
    <col min="6640" max="6640" width="4.109375" style="69" customWidth="1"/>
    <col min="6641" max="6641" width="3.6640625" style="69" customWidth="1"/>
    <col min="6642" max="6642" width="4.88671875" style="69" customWidth="1"/>
    <col min="6643" max="6643" width="10.33203125" style="69" customWidth="1"/>
    <col min="6644" max="6644" width="13.33203125" style="69" customWidth="1"/>
    <col min="6645" max="6645" width="5.5546875" style="69" customWidth="1"/>
    <col min="6646" max="6646" width="6.44140625" style="69" customWidth="1"/>
    <col min="6647" max="6647" width="11.6640625" style="69" customWidth="1"/>
    <col min="6648" max="6648" width="10.44140625" style="69" customWidth="1"/>
    <col min="6649" max="6649" width="13.44140625" style="69" customWidth="1"/>
    <col min="6650" max="6895" width="7" style="69"/>
    <col min="6896" max="6896" width="4.109375" style="69" customWidth="1"/>
    <col min="6897" max="6897" width="3.6640625" style="69" customWidth="1"/>
    <col min="6898" max="6898" width="4.88671875" style="69" customWidth="1"/>
    <col min="6899" max="6899" width="10.33203125" style="69" customWidth="1"/>
    <col min="6900" max="6900" width="13.33203125" style="69" customWidth="1"/>
    <col min="6901" max="6901" width="5.5546875" style="69" customWidth="1"/>
    <col min="6902" max="6902" width="6.44140625" style="69" customWidth="1"/>
    <col min="6903" max="6903" width="11.6640625" style="69" customWidth="1"/>
    <col min="6904" max="6904" width="10.44140625" style="69" customWidth="1"/>
    <col min="6905" max="6905" width="13.44140625" style="69" customWidth="1"/>
    <col min="6906" max="7151" width="7" style="69"/>
    <col min="7152" max="7152" width="4.109375" style="69" customWidth="1"/>
    <col min="7153" max="7153" width="3.6640625" style="69" customWidth="1"/>
    <col min="7154" max="7154" width="4.88671875" style="69" customWidth="1"/>
    <col min="7155" max="7155" width="10.33203125" style="69" customWidth="1"/>
    <col min="7156" max="7156" width="13.33203125" style="69" customWidth="1"/>
    <col min="7157" max="7157" width="5.5546875" style="69" customWidth="1"/>
    <col min="7158" max="7158" width="6.44140625" style="69" customWidth="1"/>
    <col min="7159" max="7159" width="11.6640625" style="69" customWidth="1"/>
    <col min="7160" max="7160" width="10.44140625" style="69" customWidth="1"/>
    <col min="7161" max="7161" width="13.44140625" style="69" customWidth="1"/>
    <col min="7162" max="7407" width="7" style="69"/>
    <col min="7408" max="7408" width="4.109375" style="69" customWidth="1"/>
    <col min="7409" max="7409" width="3.6640625" style="69" customWidth="1"/>
    <col min="7410" max="7410" width="4.88671875" style="69" customWidth="1"/>
    <col min="7411" max="7411" width="10.33203125" style="69" customWidth="1"/>
    <col min="7412" max="7412" width="13.33203125" style="69" customWidth="1"/>
    <col min="7413" max="7413" width="5.5546875" style="69" customWidth="1"/>
    <col min="7414" max="7414" width="6.44140625" style="69" customWidth="1"/>
    <col min="7415" max="7415" width="11.6640625" style="69" customWidth="1"/>
    <col min="7416" max="7416" width="10.44140625" style="69" customWidth="1"/>
    <col min="7417" max="7417" width="13.44140625" style="69" customWidth="1"/>
    <col min="7418" max="7663" width="7" style="69"/>
    <col min="7664" max="7664" width="4.109375" style="69" customWidth="1"/>
    <col min="7665" max="7665" width="3.6640625" style="69" customWidth="1"/>
    <col min="7666" max="7666" width="4.88671875" style="69" customWidth="1"/>
    <col min="7667" max="7667" width="10.33203125" style="69" customWidth="1"/>
    <col min="7668" max="7668" width="13.33203125" style="69" customWidth="1"/>
    <col min="7669" max="7669" width="5.5546875" style="69" customWidth="1"/>
    <col min="7670" max="7670" width="6.44140625" style="69" customWidth="1"/>
    <col min="7671" max="7671" width="11.6640625" style="69" customWidth="1"/>
    <col min="7672" max="7672" width="10.44140625" style="69" customWidth="1"/>
    <col min="7673" max="7673" width="13.44140625" style="69" customWidth="1"/>
    <col min="7674" max="7919" width="7" style="69"/>
    <col min="7920" max="7920" width="4.109375" style="69" customWidth="1"/>
    <col min="7921" max="7921" width="3.6640625" style="69" customWidth="1"/>
    <col min="7922" max="7922" width="4.88671875" style="69" customWidth="1"/>
    <col min="7923" max="7923" width="10.33203125" style="69" customWidth="1"/>
    <col min="7924" max="7924" width="13.33203125" style="69" customWidth="1"/>
    <col min="7925" max="7925" width="5.5546875" style="69" customWidth="1"/>
    <col min="7926" max="7926" width="6.44140625" style="69" customWidth="1"/>
    <col min="7927" max="7927" width="11.6640625" style="69" customWidth="1"/>
    <col min="7928" max="7928" width="10.44140625" style="69" customWidth="1"/>
    <col min="7929" max="7929" width="13.44140625" style="69" customWidth="1"/>
    <col min="7930" max="8175" width="7" style="69"/>
    <col min="8176" max="8176" width="4.109375" style="69" customWidth="1"/>
    <col min="8177" max="8177" width="3.6640625" style="69" customWidth="1"/>
    <col min="8178" max="8178" width="4.88671875" style="69" customWidth="1"/>
    <col min="8179" max="8179" width="10.33203125" style="69" customWidth="1"/>
    <col min="8180" max="8180" width="13.33203125" style="69" customWidth="1"/>
    <col min="8181" max="8181" width="5.5546875" style="69" customWidth="1"/>
    <col min="8182" max="8182" width="6.44140625" style="69" customWidth="1"/>
    <col min="8183" max="8183" width="11.6640625" style="69" customWidth="1"/>
    <col min="8184" max="8184" width="10.44140625" style="69" customWidth="1"/>
    <col min="8185" max="8185" width="13.44140625" style="69" customWidth="1"/>
    <col min="8186" max="8431" width="7" style="69"/>
    <col min="8432" max="8432" width="4.109375" style="69" customWidth="1"/>
    <col min="8433" max="8433" width="3.6640625" style="69" customWidth="1"/>
    <col min="8434" max="8434" width="4.88671875" style="69" customWidth="1"/>
    <col min="8435" max="8435" width="10.33203125" style="69" customWidth="1"/>
    <col min="8436" max="8436" width="13.33203125" style="69" customWidth="1"/>
    <col min="8437" max="8437" width="5.5546875" style="69" customWidth="1"/>
    <col min="8438" max="8438" width="6.44140625" style="69" customWidth="1"/>
    <col min="8439" max="8439" width="11.6640625" style="69" customWidth="1"/>
    <col min="8440" max="8440" width="10.44140625" style="69" customWidth="1"/>
    <col min="8441" max="8441" width="13.44140625" style="69" customWidth="1"/>
    <col min="8442" max="8687" width="7" style="69"/>
    <col min="8688" max="8688" width="4.109375" style="69" customWidth="1"/>
    <col min="8689" max="8689" width="3.6640625" style="69" customWidth="1"/>
    <col min="8690" max="8690" width="4.88671875" style="69" customWidth="1"/>
    <col min="8691" max="8691" width="10.33203125" style="69" customWidth="1"/>
    <col min="8692" max="8692" width="13.33203125" style="69" customWidth="1"/>
    <col min="8693" max="8693" width="5.5546875" style="69" customWidth="1"/>
    <col min="8694" max="8694" width="6.44140625" style="69" customWidth="1"/>
    <col min="8695" max="8695" width="11.6640625" style="69" customWidth="1"/>
    <col min="8696" max="8696" width="10.44140625" style="69" customWidth="1"/>
    <col min="8697" max="8697" width="13.44140625" style="69" customWidth="1"/>
    <col min="8698" max="8943" width="7" style="69"/>
    <col min="8944" max="8944" width="4.109375" style="69" customWidth="1"/>
    <col min="8945" max="8945" width="3.6640625" style="69" customWidth="1"/>
    <col min="8946" max="8946" width="4.88671875" style="69" customWidth="1"/>
    <col min="8947" max="8947" width="10.33203125" style="69" customWidth="1"/>
    <col min="8948" max="8948" width="13.33203125" style="69" customWidth="1"/>
    <col min="8949" max="8949" width="5.5546875" style="69" customWidth="1"/>
    <col min="8950" max="8950" width="6.44140625" style="69" customWidth="1"/>
    <col min="8951" max="8951" width="11.6640625" style="69" customWidth="1"/>
    <col min="8952" max="8952" width="10.44140625" style="69" customWidth="1"/>
    <col min="8953" max="8953" width="13.44140625" style="69" customWidth="1"/>
    <col min="8954" max="9199" width="7" style="69"/>
    <col min="9200" max="9200" width="4.109375" style="69" customWidth="1"/>
    <col min="9201" max="9201" width="3.6640625" style="69" customWidth="1"/>
    <col min="9202" max="9202" width="4.88671875" style="69" customWidth="1"/>
    <col min="9203" max="9203" width="10.33203125" style="69" customWidth="1"/>
    <col min="9204" max="9204" width="13.33203125" style="69" customWidth="1"/>
    <col min="9205" max="9205" width="5.5546875" style="69" customWidth="1"/>
    <col min="9206" max="9206" width="6.44140625" style="69" customWidth="1"/>
    <col min="9207" max="9207" width="11.6640625" style="69" customWidth="1"/>
    <col min="9208" max="9208" width="10.44140625" style="69" customWidth="1"/>
    <col min="9209" max="9209" width="13.44140625" style="69" customWidth="1"/>
    <col min="9210" max="9455" width="7" style="69"/>
    <col min="9456" max="9456" width="4.109375" style="69" customWidth="1"/>
    <col min="9457" max="9457" width="3.6640625" style="69" customWidth="1"/>
    <col min="9458" max="9458" width="4.88671875" style="69" customWidth="1"/>
    <col min="9459" max="9459" width="10.33203125" style="69" customWidth="1"/>
    <col min="9460" max="9460" width="13.33203125" style="69" customWidth="1"/>
    <col min="9461" max="9461" width="5.5546875" style="69" customWidth="1"/>
    <col min="9462" max="9462" width="6.44140625" style="69" customWidth="1"/>
    <col min="9463" max="9463" width="11.6640625" style="69" customWidth="1"/>
    <col min="9464" max="9464" width="10.44140625" style="69" customWidth="1"/>
    <col min="9465" max="9465" width="13.44140625" style="69" customWidth="1"/>
    <col min="9466" max="9711" width="7" style="69"/>
    <col min="9712" max="9712" width="4.109375" style="69" customWidth="1"/>
    <col min="9713" max="9713" width="3.6640625" style="69" customWidth="1"/>
    <col min="9714" max="9714" width="4.88671875" style="69" customWidth="1"/>
    <col min="9715" max="9715" width="10.33203125" style="69" customWidth="1"/>
    <col min="9716" max="9716" width="13.33203125" style="69" customWidth="1"/>
    <col min="9717" max="9717" width="5.5546875" style="69" customWidth="1"/>
    <col min="9718" max="9718" width="6.44140625" style="69" customWidth="1"/>
    <col min="9719" max="9719" width="11.6640625" style="69" customWidth="1"/>
    <col min="9720" max="9720" width="10.44140625" style="69" customWidth="1"/>
    <col min="9721" max="9721" width="13.44140625" style="69" customWidth="1"/>
    <col min="9722" max="9967" width="7" style="69"/>
    <col min="9968" max="9968" width="4.109375" style="69" customWidth="1"/>
    <col min="9969" max="9969" width="3.6640625" style="69" customWidth="1"/>
    <col min="9970" max="9970" width="4.88671875" style="69" customWidth="1"/>
    <col min="9971" max="9971" width="10.33203125" style="69" customWidth="1"/>
    <col min="9972" max="9972" width="13.33203125" style="69" customWidth="1"/>
    <col min="9973" max="9973" width="5.5546875" style="69" customWidth="1"/>
    <col min="9974" max="9974" width="6.44140625" style="69" customWidth="1"/>
    <col min="9975" max="9975" width="11.6640625" style="69" customWidth="1"/>
    <col min="9976" max="9976" width="10.44140625" style="69" customWidth="1"/>
    <col min="9977" max="9977" width="13.44140625" style="69" customWidth="1"/>
    <col min="9978" max="10223" width="7" style="69"/>
    <col min="10224" max="10224" width="4.109375" style="69" customWidth="1"/>
    <col min="10225" max="10225" width="3.6640625" style="69" customWidth="1"/>
    <col min="10226" max="10226" width="4.88671875" style="69" customWidth="1"/>
    <col min="10227" max="10227" width="10.33203125" style="69" customWidth="1"/>
    <col min="10228" max="10228" width="13.33203125" style="69" customWidth="1"/>
    <col min="10229" max="10229" width="5.5546875" style="69" customWidth="1"/>
    <col min="10230" max="10230" width="6.44140625" style="69" customWidth="1"/>
    <col min="10231" max="10231" width="11.6640625" style="69" customWidth="1"/>
    <col min="10232" max="10232" width="10.44140625" style="69" customWidth="1"/>
    <col min="10233" max="10233" width="13.44140625" style="69" customWidth="1"/>
    <col min="10234" max="10479" width="7" style="69"/>
    <col min="10480" max="10480" width="4.109375" style="69" customWidth="1"/>
    <col min="10481" max="10481" width="3.6640625" style="69" customWidth="1"/>
    <col min="10482" max="10482" width="4.88671875" style="69" customWidth="1"/>
    <col min="10483" max="10483" width="10.33203125" style="69" customWidth="1"/>
    <col min="10484" max="10484" width="13.33203125" style="69" customWidth="1"/>
    <col min="10485" max="10485" width="5.5546875" style="69" customWidth="1"/>
    <col min="10486" max="10486" width="6.44140625" style="69" customWidth="1"/>
    <col min="10487" max="10487" width="11.6640625" style="69" customWidth="1"/>
    <col min="10488" max="10488" width="10.44140625" style="69" customWidth="1"/>
    <col min="10489" max="10489" width="13.44140625" style="69" customWidth="1"/>
    <col min="10490" max="10735" width="7" style="69"/>
    <col min="10736" max="10736" width="4.109375" style="69" customWidth="1"/>
    <col min="10737" max="10737" width="3.6640625" style="69" customWidth="1"/>
    <col min="10738" max="10738" width="4.88671875" style="69" customWidth="1"/>
    <col min="10739" max="10739" width="10.33203125" style="69" customWidth="1"/>
    <col min="10740" max="10740" width="13.33203125" style="69" customWidth="1"/>
    <col min="10741" max="10741" width="5.5546875" style="69" customWidth="1"/>
    <col min="10742" max="10742" width="6.44140625" style="69" customWidth="1"/>
    <col min="10743" max="10743" width="11.6640625" style="69" customWidth="1"/>
    <col min="10744" max="10744" width="10.44140625" style="69" customWidth="1"/>
    <col min="10745" max="10745" width="13.44140625" style="69" customWidth="1"/>
    <col min="10746" max="10991" width="7" style="69"/>
    <col min="10992" max="10992" width="4.109375" style="69" customWidth="1"/>
    <col min="10993" max="10993" width="3.6640625" style="69" customWidth="1"/>
    <col min="10994" max="10994" width="4.88671875" style="69" customWidth="1"/>
    <col min="10995" max="10995" width="10.33203125" style="69" customWidth="1"/>
    <col min="10996" max="10996" width="13.33203125" style="69" customWidth="1"/>
    <col min="10997" max="10997" width="5.5546875" style="69" customWidth="1"/>
    <col min="10998" max="10998" width="6.44140625" style="69" customWidth="1"/>
    <col min="10999" max="10999" width="11.6640625" style="69" customWidth="1"/>
    <col min="11000" max="11000" width="10.44140625" style="69" customWidth="1"/>
    <col min="11001" max="11001" width="13.44140625" style="69" customWidth="1"/>
    <col min="11002" max="11247" width="7" style="69"/>
    <col min="11248" max="11248" width="4.109375" style="69" customWidth="1"/>
    <col min="11249" max="11249" width="3.6640625" style="69" customWidth="1"/>
    <col min="11250" max="11250" width="4.88671875" style="69" customWidth="1"/>
    <col min="11251" max="11251" width="10.33203125" style="69" customWidth="1"/>
    <col min="11252" max="11252" width="13.33203125" style="69" customWidth="1"/>
    <col min="11253" max="11253" width="5.5546875" style="69" customWidth="1"/>
    <col min="11254" max="11254" width="6.44140625" style="69" customWidth="1"/>
    <col min="11255" max="11255" width="11.6640625" style="69" customWidth="1"/>
    <col min="11256" max="11256" width="10.44140625" style="69" customWidth="1"/>
    <col min="11257" max="11257" width="13.44140625" style="69" customWidth="1"/>
    <col min="11258" max="11503" width="7" style="69"/>
    <col min="11504" max="11504" width="4.109375" style="69" customWidth="1"/>
    <col min="11505" max="11505" width="3.6640625" style="69" customWidth="1"/>
    <col min="11506" max="11506" width="4.88671875" style="69" customWidth="1"/>
    <col min="11507" max="11507" width="10.33203125" style="69" customWidth="1"/>
    <col min="11508" max="11508" width="13.33203125" style="69" customWidth="1"/>
    <col min="11509" max="11509" width="5.5546875" style="69" customWidth="1"/>
    <col min="11510" max="11510" width="6.44140625" style="69" customWidth="1"/>
    <col min="11511" max="11511" width="11.6640625" style="69" customWidth="1"/>
    <col min="11512" max="11512" width="10.44140625" style="69" customWidth="1"/>
    <col min="11513" max="11513" width="13.44140625" style="69" customWidth="1"/>
    <col min="11514" max="11759" width="7" style="69"/>
    <col min="11760" max="11760" width="4.109375" style="69" customWidth="1"/>
    <col min="11761" max="11761" width="3.6640625" style="69" customWidth="1"/>
    <col min="11762" max="11762" width="4.88671875" style="69" customWidth="1"/>
    <col min="11763" max="11763" width="10.33203125" style="69" customWidth="1"/>
    <col min="11764" max="11764" width="13.33203125" style="69" customWidth="1"/>
    <col min="11765" max="11765" width="5.5546875" style="69" customWidth="1"/>
    <col min="11766" max="11766" width="6.44140625" style="69" customWidth="1"/>
    <col min="11767" max="11767" width="11.6640625" style="69" customWidth="1"/>
    <col min="11768" max="11768" width="10.44140625" style="69" customWidth="1"/>
    <col min="11769" max="11769" width="13.44140625" style="69" customWidth="1"/>
    <col min="11770" max="12015" width="7" style="69"/>
    <col min="12016" max="12016" width="4.109375" style="69" customWidth="1"/>
    <col min="12017" max="12017" width="3.6640625" style="69" customWidth="1"/>
    <col min="12018" max="12018" width="4.88671875" style="69" customWidth="1"/>
    <col min="12019" max="12019" width="10.33203125" style="69" customWidth="1"/>
    <col min="12020" max="12020" width="13.33203125" style="69" customWidth="1"/>
    <col min="12021" max="12021" width="5.5546875" style="69" customWidth="1"/>
    <col min="12022" max="12022" width="6.44140625" style="69" customWidth="1"/>
    <col min="12023" max="12023" width="11.6640625" style="69" customWidth="1"/>
    <col min="12024" max="12024" width="10.44140625" style="69" customWidth="1"/>
    <col min="12025" max="12025" width="13.44140625" style="69" customWidth="1"/>
    <col min="12026" max="12271" width="7" style="69"/>
    <col min="12272" max="12272" width="4.109375" style="69" customWidth="1"/>
    <col min="12273" max="12273" width="3.6640625" style="69" customWidth="1"/>
    <col min="12274" max="12274" width="4.88671875" style="69" customWidth="1"/>
    <col min="12275" max="12275" width="10.33203125" style="69" customWidth="1"/>
    <col min="12276" max="12276" width="13.33203125" style="69" customWidth="1"/>
    <col min="12277" max="12277" width="5.5546875" style="69" customWidth="1"/>
    <col min="12278" max="12278" width="6.44140625" style="69" customWidth="1"/>
    <col min="12279" max="12279" width="11.6640625" style="69" customWidth="1"/>
    <col min="12280" max="12280" width="10.44140625" style="69" customWidth="1"/>
    <col min="12281" max="12281" width="13.44140625" style="69" customWidth="1"/>
    <col min="12282" max="12527" width="7" style="69"/>
    <col min="12528" max="12528" width="4.109375" style="69" customWidth="1"/>
    <col min="12529" max="12529" width="3.6640625" style="69" customWidth="1"/>
    <col min="12530" max="12530" width="4.88671875" style="69" customWidth="1"/>
    <col min="12531" max="12531" width="10.33203125" style="69" customWidth="1"/>
    <col min="12532" max="12532" width="13.33203125" style="69" customWidth="1"/>
    <col min="12533" max="12533" width="5.5546875" style="69" customWidth="1"/>
    <col min="12534" max="12534" width="6.44140625" style="69" customWidth="1"/>
    <col min="12535" max="12535" width="11.6640625" style="69" customWidth="1"/>
    <col min="12536" max="12536" width="10.44140625" style="69" customWidth="1"/>
    <col min="12537" max="12537" width="13.44140625" style="69" customWidth="1"/>
    <col min="12538" max="12783" width="7" style="69"/>
    <col min="12784" max="12784" width="4.109375" style="69" customWidth="1"/>
    <col min="12785" max="12785" width="3.6640625" style="69" customWidth="1"/>
    <col min="12786" max="12786" width="4.88671875" style="69" customWidth="1"/>
    <col min="12787" max="12787" width="10.33203125" style="69" customWidth="1"/>
    <col min="12788" max="12788" width="13.33203125" style="69" customWidth="1"/>
    <col min="12789" max="12789" width="5.5546875" style="69" customWidth="1"/>
    <col min="12790" max="12790" width="6.44140625" style="69" customWidth="1"/>
    <col min="12791" max="12791" width="11.6640625" style="69" customWidth="1"/>
    <col min="12792" max="12792" width="10.44140625" style="69" customWidth="1"/>
    <col min="12793" max="12793" width="13.44140625" style="69" customWidth="1"/>
    <col min="12794" max="13039" width="7" style="69"/>
    <col min="13040" max="13040" width="4.109375" style="69" customWidth="1"/>
    <col min="13041" max="13041" width="3.6640625" style="69" customWidth="1"/>
    <col min="13042" max="13042" width="4.88671875" style="69" customWidth="1"/>
    <col min="13043" max="13043" width="10.33203125" style="69" customWidth="1"/>
    <col min="13044" max="13044" width="13.33203125" style="69" customWidth="1"/>
    <col min="13045" max="13045" width="5.5546875" style="69" customWidth="1"/>
    <col min="13046" max="13046" width="6.44140625" style="69" customWidth="1"/>
    <col min="13047" max="13047" width="11.6640625" style="69" customWidth="1"/>
    <col min="13048" max="13048" width="10.44140625" style="69" customWidth="1"/>
    <col min="13049" max="13049" width="13.44140625" style="69" customWidth="1"/>
    <col min="13050" max="13295" width="7" style="69"/>
    <col min="13296" max="13296" width="4.109375" style="69" customWidth="1"/>
    <col min="13297" max="13297" width="3.6640625" style="69" customWidth="1"/>
    <col min="13298" max="13298" width="4.88671875" style="69" customWidth="1"/>
    <col min="13299" max="13299" width="10.33203125" style="69" customWidth="1"/>
    <col min="13300" max="13300" width="13.33203125" style="69" customWidth="1"/>
    <col min="13301" max="13301" width="5.5546875" style="69" customWidth="1"/>
    <col min="13302" max="13302" width="6.44140625" style="69" customWidth="1"/>
    <col min="13303" max="13303" width="11.6640625" style="69" customWidth="1"/>
    <col min="13304" max="13304" width="10.44140625" style="69" customWidth="1"/>
    <col min="13305" max="13305" width="13.44140625" style="69" customWidth="1"/>
    <col min="13306" max="13551" width="7" style="69"/>
    <col min="13552" max="13552" width="4.109375" style="69" customWidth="1"/>
    <col min="13553" max="13553" width="3.6640625" style="69" customWidth="1"/>
    <col min="13554" max="13554" width="4.88671875" style="69" customWidth="1"/>
    <col min="13555" max="13555" width="10.33203125" style="69" customWidth="1"/>
    <col min="13556" max="13556" width="13.33203125" style="69" customWidth="1"/>
    <col min="13557" max="13557" width="5.5546875" style="69" customWidth="1"/>
    <col min="13558" max="13558" width="6.44140625" style="69" customWidth="1"/>
    <col min="13559" max="13559" width="11.6640625" style="69" customWidth="1"/>
    <col min="13560" max="13560" width="10.44140625" style="69" customWidth="1"/>
    <col min="13561" max="13561" width="13.44140625" style="69" customWidth="1"/>
    <col min="13562" max="13807" width="7" style="69"/>
    <col min="13808" max="13808" width="4.109375" style="69" customWidth="1"/>
    <col min="13809" max="13809" width="3.6640625" style="69" customWidth="1"/>
    <col min="13810" max="13810" width="4.88671875" style="69" customWidth="1"/>
    <col min="13811" max="13811" width="10.33203125" style="69" customWidth="1"/>
    <col min="13812" max="13812" width="13.33203125" style="69" customWidth="1"/>
    <col min="13813" max="13813" width="5.5546875" style="69" customWidth="1"/>
    <col min="13814" max="13814" width="6.44140625" style="69" customWidth="1"/>
    <col min="13815" max="13815" width="11.6640625" style="69" customWidth="1"/>
    <col min="13816" max="13816" width="10.44140625" style="69" customWidth="1"/>
    <col min="13817" max="13817" width="13.44140625" style="69" customWidth="1"/>
    <col min="13818" max="14063" width="7" style="69"/>
    <col min="14064" max="14064" width="4.109375" style="69" customWidth="1"/>
    <col min="14065" max="14065" width="3.6640625" style="69" customWidth="1"/>
    <col min="14066" max="14066" width="4.88671875" style="69" customWidth="1"/>
    <col min="14067" max="14067" width="10.33203125" style="69" customWidth="1"/>
    <col min="14068" max="14068" width="13.33203125" style="69" customWidth="1"/>
    <col min="14069" max="14069" width="5.5546875" style="69" customWidth="1"/>
    <col min="14070" max="14070" width="6.44140625" style="69" customWidth="1"/>
    <col min="14071" max="14071" width="11.6640625" style="69" customWidth="1"/>
    <col min="14072" max="14072" width="10.44140625" style="69" customWidth="1"/>
    <col min="14073" max="14073" width="13.44140625" style="69" customWidth="1"/>
    <col min="14074" max="14319" width="7" style="69"/>
    <col min="14320" max="14320" width="4.109375" style="69" customWidth="1"/>
    <col min="14321" max="14321" width="3.6640625" style="69" customWidth="1"/>
    <col min="14322" max="14322" width="4.88671875" style="69" customWidth="1"/>
    <col min="14323" max="14323" width="10.33203125" style="69" customWidth="1"/>
    <col min="14324" max="14324" width="13.33203125" style="69" customWidth="1"/>
    <col min="14325" max="14325" width="5.5546875" style="69" customWidth="1"/>
    <col min="14326" max="14326" width="6.44140625" style="69" customWidth="1"/>
    <col min="14327" max="14327" width="11.6640625" style="69" customWidth="1"/>
    <col min="14328" max="14328" width="10.44140625" style="69" customWidth="1"/>
    <col min="14329" max="14329" width="13.44140625" style="69" customWidth="1"/>
    <col min="14330" max="14575" width="7" style="69"/>
    <col min="14576" max="14576" width="4.109375" style="69" customWidth="1"/>
    <col min="14577" max="14577" width="3.6640625" style="69" customWidth="1"/>
    <col min="14578" max="14578" width="4.88671875" style="69" customWidth="1"/>
    <col min="14579" max="14579" width="10.33203125" style="69" customWidth="1"/>
    <col min="14580" max="14580" width="13.33203125" style="69" customWidth="1"/>
    <col min="14581" max="14581" width="5.5546875" style="69" customWidth="1"/>
    <col min="14582" max="14582" width="6.44140625" style="69" customWidth="1"/>
    <col min="14583" max="14583" width="11.6640625" style="69" customWidth="1"/>
    <col min="14584" max="14584" width="10.44140625" style="69" customWidth="1"/>
    <col min="14585" max="14585" width="13.44140625" style="69" customWidth="1"/>
    <col min="14586" max="14831" width="7" style="69"/>
    <col min="14832" max="14832" width="4.109375" style="69" customWidth="1"/>
    <col min="14833" max="14833" width="3.6640625" style="69" customWidth="1"/>
    <col min="14834" max="14834" width="4.88671875" style="69" customWidth="1"/>
    <col min="14835" max="14835" width="10.33203125" style="69" customWidth="1"/>
    <col min="14836" max="14836" width="13.33203125" style="69" customWidth="1"/>
    <col min="14837" max="14837" width="5.5546875" style="69" customWidth="1"/>
    <col min="14838" max="14838" width="6.44140625" style="69" customWidth="1"/>
    <col min="14839" max="14839" width="11.6640625" style="69" customWidth="1"/>
    <col min="14840" max="14840" width="10.44140625" style="69" customWidth="1"/>
    <col min="14841" max="14841" width="13.44140625" style="69" customWidth="1"/>
    <col min="14842" max="15087" width="7" style="69"/>
    <col min="15088" max="15088" width="4.109375" style="69" customWidth="1"/>
    <col min="15089" max="15089" width="3.6640625" style="69" customWidth="1"/>
    <col min="15090" max="15090" width="4.88671875" style="69" customWidth="1"/>
    <col min="15091" max="15091" width="10.33203125" style="69" customWidth="1"/>
    <col min="15092" max="15092" width="13.33203125" style="69" customWidth="1"/>
    <col min="15093" max="15093" width="5.5546875" style="69" customWidth="1"/>
    <col min="15094" max="15094" width="6.44140625" style="69" customWidth="1"/>
    <col min="15095" max="15095" width="11.6640625" style="69" customWidth="1"/>
    <col min="15096" max="15096" width="10.44140625" style="69" customWidth="1"/>
    <col min="15097" max="15097" width="13.44140625" style="69" customWidth="1"/>
    <col min="15098" max="15343" width="7" style="69"/>
    <col min="15344" max="15344" width="4.109375" style="69" customWidth="1"/>
    <col min="15345" max="15345" width="3.6640625" style="69" customWidth="1"/>
    <col min="15346" max="15346" width="4.88671875" style="69" customWidth="1"/>
    <col min="15347" max="15347" width="10.33203125" style="69" customWidth="1"/>
    <col min="15348" max="15348" width="13.33203125" style="69" customWidth="1"/>
    <col min="15349" max="15349" width="5.5546875" style="69" customWidth="1"/>
    <col min="15350" max="15350" width="6.44140625" style="69" customWidth="1"/>
    <col min="15351" max="15351" width="11.6640625" style="69" customWidth="1"/>
    <col min="15352" max="15352" width="10.44140625" style="69" customWidth="1"/>
    <col min="15353" max="15353" width="13.44140625" style="69" customWidth="1"/>
    <col min="15354" max="15599" width="7" style="69"/>
    <col min="15600" max="15600" width="4.109375" style="69" customWidth="1"/>
    <col min="15601" max="15601" width="3.6640625" style="69" customWidth="1"/>
    <col min="15602" max="15602" width="4.88671875" style="69" customWidth="1"/>
    <col min="15603" max="15603" width="10.33203125" style="69" customWidth="1"/>
    <col min="15604" max="15604" width="13.33203125" style="69" customWidth="1"/>
    <col min="15605" max="15605" width="5.5546875" style="69" customWidth="1"/>
    <col min="15606" max="15606" width="6.44140625" style="69" customWidth="1"/>
    <col min="15607" max="15607" width="11.6640625" style="69" customWidth="1"/>
    <col min="15608" max="15608" width="10.44140625" style="69" customWidth="1"/>
    <col min="15609" max="15609" width="13.44140625" style="69" customWidth="1"/>
    <col min="15610" max="15855" width="7" style="69"/>
    <col min="15856" max="15856" width="4.109375" style="69" customWidth="1"/>
    <col min="15857" max="15857" width="3.6640625" style="69" customWidth="1"/>
    <col min="15858" max="15858" width="4.88671875" style="69" customWidth="1"/>
    <col min="15859" max="15859" width="10.33203125" style="69" customWidth="1"/>
    <col min="15860" max="15860" width="13.33203125" style="69" customWidth="1"/>
    <col min="15861" max="15861" width="5.5546875" style="69" customWidth="1"/>
    <col min="15862" max="15862" width="6.44140625" style="69" customWidth="1"/>
    <col min="15863" max="15863" width="11.6640625" style="69" customWidth="1"/>
    <col min="15864" max="15864" width="10.44140625" style="69" customWidth="1"/>
    <col min="15865" max="15865" width="13.44140625" style="69" customWidth="1"/>
    <col min="15866" max="16111" width="7" style="69"/>
    <col min="16112" max="16112" width="4.109375" style="69" customWidth="1"/>
    <col min="16113" max="16113" width="3.6640625" style="69" customWidth="1"/>
    <col min="16114" max="16114" width="4.88671875" style="69" customWidth="1"/>
    <col min="16115" max="16115" width="10.33203125" style="69" customWidth="1"/>
    <col min="16116" max="16116" width="13.33203125" style="69" customWidth="1"/>
    <col min="16117" max="16117" width="5.5546875" style="69" customWidth="1"/>
    <col min="16118" max="16118" width="6.44140625" style="69" customWidth="1"/>
    <col min="16119" max="16119" width="11.6640625" style="69" customWidth="1"/>
    <col min="16120" max="16120" width="10.44140625" style="69" customWidth="1"/>
    <col min="16121" max="16121" width="13.44140625" style="69" customWidth="1"/>
    <col min="16122" max="16384" width="7" style="69"/>
  </cols>
  <sheetData>
    <row r="1" spans="1:14" s="168" customFormat="1" x14ac:dyDescent="0.3">
      <c r="A1" s="169" t="s">
        <v>0</v>
      </c>
      <c r="B1" s="169" t="s">
        <v>61</v>
      </c>
      <c r="C1" s="169" t="s">
        <v>1</v>
      </c>
      <c r="D1" s="169" t="s">
        <v>58</v>
      </c>
      <c r="E1" s="169" t="s">
        <v>2231</v>
      </c>
      <c r="F1" s="169" t="s">
        <v>2232</v>
      </c>
      <c r="G1" s="169" t="s">
        <v>2233</v>
      </c>
      <c r="H1" s="169" t="s">
        <v>2234</v>
      </c>
      <c r="I1" s="169" t="s">
        <v>2235</v>
      </c>
      <c r="J1" s="169" t="s">
        <v>2236</v>
      </c>
      <c r="K1" s="169" t="s">
        <v>2237</v>
      </c>
      <c r="L1" s="169" t="s">
        <v>2</v>
      </c>
      <c r="M1" s="169" t="s">
        <v>57</v>
      </c>
      <c r="N1" s="173" t="s">
        <v>1148</v>
      </c>
    </row>
    <row r="2" spans="1:14" ht="37.5" x14ac:dyDescent="0.3">
      <c r="A2" s="35">
        <v>1</v>
      </c>
      <c r="B2" s="77" t="s">
        <v>68</v>
      </c>
      <c r="C2" s="35" t="s">
        <v>5</v>
      </c>
      <c r="D2" s="77" t="s">
        <v>6</v>
      </c>
      <c r="E2" s="83"/>
      <c r="F2" s="83"/>
      <c r="G2" s="83"/>
      <c r="H2" s="83"/>
      <c r="I2" s="83"/>
      <c r="J2" s="83"/>
      <c r="K2" s="83"/>
      <c r="L2" s="35" t="s">
        <v>5</v>
      </c>
      <c r="M2" s="35" t="s">
        <v>9</v>
      </c>
      <c r="N2" s="174" t="s">
        <v>19</v>
      </c>
    </row>
    <row r="3" spans="1:14" ht="37.5" x14ac:dyDescent="0.3">
      <c r="A3" s="35">
        <v>2</v>
      </c>
      <c r="B3" s="77" t="s">
        <v>68</v>
      </c>
      <c r="C3" s="35" t="s">
        <v>3</v>
      </c>
      <c r="D3" s="77" t="s">
        <v>1737</v>
      </c>
      <c r="E3" s="83"/>
      <c r="F3" s="83"/>
      <c r="G3" s="83"/>
      <c r="H3" s="83"/>
      <c r="I3" s="83"/>
      <c r="J3" s="83"/>
      <c r="K3" s="83"/>
      <c r="L3" s="35" t="s">
        <v>4</v>
      </c>
      <c r="M3" s="175" t="s">
        <v>9</v>
      </c>
      <c r="N3" s="174" t="s">
        <v>19</v>
      </c>
    </row>
    <row r="4" spans="1:14" s="176" customFormat="1" ht="37.5" x14ac:dyDescent="0.3">
      <c r="A4" s="35">
        <v>3</v>
      </c>
      <c r="B4" s="77" t="s">
        <v>65</v>
      </c>
      <c r="C4" s="35" t="s">
        <v>14</v>
      </c>
      <c r="D4" s="77" t="s">
        <v>15</v>
      </c>
      <c r="E4" s="83"/>
      <c r="F4" s="83"/>
      <c r="G4" s="83"/>
      <c r="H4" s="83"/>
      <c r="I4" s="83"/>
      <c r="J4" s="83"/>
      <c r="K4" s="83"/>
      <c r="L4" s="35" t="s">
        <v>16</v>
      </c>
      <c r="M4" s="35" t="s">
        <v>9</v>
      </c>
      <c r="N4" s="174" t="s">
        <v>17</v>
      </c>
    </row>
    <row r="5" spans="1:14" ht="37.5" x14ac:dyDescent="0.3">
      <c r="A5" s="35">
        <v>4</v>
      </c>
      <c r="B5" s="77" t="s">
        <v>68</v>
      </c>
      <c r="C5" s="35" t="s">
        <v>7</v>
      </c>
      <c r="D5" s="77" t="s">
        <v>754</v>
      </c>
      <c r="E5" s="83"/>
      <c r="F5" s="83"/>
      <c r="G5" s="83"/>
      <c r="H5" s="83"/>
      <c r="I5" s="83"/>
      <c r="J5" s="83"/>
      <c r="K5" s="83"/>
      <c r="L5" s="35" t="s">
        <v>8</v>
      </c>
      <c r="M5" s="35" t="s">
        <v>9</v>
      </c>
      <c r="N5" s="174" t="s">
        <v>19</v>
      </c>
    </row>
    <row r="6" spans="1:14" ht="37.5" x14ac:dyDescent="0.3">
      <c r="A6" s="35">
        <v>5</v>
      </c>
      <c r="B6" s="77" t="s">
        <v>68</v>
      </c>
      <c r="C6" s="35" t="s">
        <v>10</v>
      </c>
      <c r="D6" s="77" t="s">
        <v>755</v>
      </c>
      <c r="E6" s="83"/>
      <c r="F6" s="83"/>
      <c r="G6" s="83"/>
      <c r="H6" s="83"/>
      <c r="I6" s="83"/>
      <c r="J6" s="83"/>
      <c r="K6" s="83"/>
      <c r="L6" s="35" t="s">
        <v>11</v>
      </c>
      <c r="M6" s="35" t="s">
        <v>9</v>
      </c>
      <c r="N6" s="174" t="s">
        <v>19</v>
      </c>
    </row>
    <row r="7" spans="1:14" ht="37.5" x14ac:dyDescent="0.3">
      <c r="A7" s="35">
        <v>6</v>
      </c>
      <c r="B7" s="77" t="s">
        <v>68</v>
      </c>
      <c r="C7" s="35" t="s">
        <v>20</v>
      </c>
      <c r="D7" s="77" t="s">
        <v>209</v>
      </c>
      <c r="E7" s="83"/>
      <c r="F7" s="83"/>
      <c r="G7" s="83"/>
      <c r="H7" s="83"/>
      <c r="I7" s="83"/>
      <c r="J7" s="83"/>
      <c r="K7" s="83"/>
      <c r="L7" s="35" t="s">
        <v>20</v>
      </c>
      <c r="M7" s="35" t="s">
        <v>9</v>
      </c>
      <c r="N7" s="174" t="s">
        <v>36</v>
      </c>
    </row>
    <row r="8" spans="1:14" ht="37.5" x14ac:dyDescent="0.3">
      <c r="A8" s="35">
        <v>7</v>
      </c>
      <c r="B8" s="77" t="s">
        <v>68</v>
      </c>
      <c r="C8" s="35" t="s">
        <v>21</v>
      </c>
      <c r="D8" s="77" t="s">
        <v>73</v>
      </c>
      <c r="E8" s="83"/>
      <c r="F8" s="83"/>
      <c r="G8" s="83"/>
      <c r="H8" s="83"/>
      <c r="I8" s="83"/>
      <c r="J8" s="83"/>
      <c r="K8" s="83"/>
      <c r="L8" s="35" t="s">
        <v>21</v>
      </c>
      <c r="M8" s="35" t="s">
        <v>9</v>
      </c>
      <c r="N8" s="174" t="s">
        <v>36</v>
      </c>
    </row>
    <row r="9" spans="1:14" ht="37.5" x14ac:dyDescent="0.3">
      <c r="A9" s="35">
        <v>8</v>
      </c>
      <c r="B9" s="77" t="s">
        <v>68</v>
      </c>
      <c r="C9" s="35" t="s">
        <v>22</v>
      </c>
      <c r="D9" s="77" t="s">
        <v>72</v>
      </c>
      <c r="E9" s="83"/>
      <c r="F9" s="83"/>
      <c r="G9" s="83"/>
      <c r="H9" s="83"/>
      <c r="I9" s="83"/>
      <c r="J9" s="83"/>
      <c r="K9" s="83"/>
      <c r="L9" s="35" t="s">
        <v>22</v>
      </c>
      <c r="M9" s="35" t="s">
        <v>9</v>
      </c>
      <c r="N9" s="174" t="s">
        <v>36</v>
      </c>
    </row>
    <row r="10" spans="1:14" ht="37.5" x14ac:dyDescent="0.3">
      <c r="A10" s="35">
        <v>9</v>
      </c>
      <c r="B10" s="77" t="s">
        <v>68</v>
      </c>
      <c r="C10" s="35" t="s">
        <v>23</v>
      </c>
      <c r="D10" s="77" t="s">
        <v>1118</v>
      </c>
      <c r="E10" s="177"/>
      <c r="F10" s="177"/>
      <c r="G10" s="177"/>
      <c r="H10" s="177"/>
      <c r="I10" s="177"/>
      <c r="J10" s="177"/>
      <c r="K10" s="177"/>
      <c r="L10" s="35" t="s">
        <v>23</v>
      </c>
      <c r="M10" s="35" t="s">
        <v>9</v>
      </c>
      <c r="N10" s="174" t="s">
        <v>36</v>
      </c>
    </row>
    <row r="11" spans="1:14" s="176" customFormat="1" ht="37.5" x14ac:dyDescent="0.3">
      <c r="A11" s="35">
        <v>10</v>
      </c>
      <c r="B11" s="77" t="s">
        <v>68</v>
      </c>
      <c r="C11" s="35" t="s">
        <v>24</v>
      </c>
      <c r="D11" s="77" t="s">
        <v>70</v>
      </c>
      <c r="E11" s="177"/>
      <c r="F11" s="177"/>
      <c r="G11" s="177"/>
      <c r="H11" s="177"/>
      <c r="I11" s="177"/>
      <c r="J11" s="177"/>
      <c r="K11" s="177"/>
      <c r="L11" s="35" t="s">
        <v>24</v>
      </c>
      <c r="M11" s="35" t="s">
        <v>9</v>
      </c>
      <c r="N11" s="174" t="s">
        <v>19</v>
      </c>
    </row>
    <row r="12" spans="1:14" s="65" customFormat="1" ht="37.5" x14ac:dyDescent="0.25">
      <c r="A12" s="35">
        <v>11</v>
      </c>
      <c r="B12" s="77" t="s">
        <v>65</v>
      </c>
      <c r="C12" s="35" t="s">
        <v>25</v>
      </c>
      <c r="D12" s="77" t="s">
        <v>1735</v>
      </c>
      <c r="E12" s="83"/>
      <c r="F12" s="83"/>
      <c r="G12" s="83"/>
      <c r="H12" s="83"/>
      <c r="I12" s="83"/>
      <c r="J12" s="83"/>
      <c r="K12" s="83"/>
      <c r="L12" s="35" t="s">
        <v>25</v>
      </c>
      <c r="M12" s="35" t="s">
        <v>9</v>
      </c>
      <c r="N12" s="174" t="s">
        <v>36</v>
      </c>
    </row>
    <row r="13" spans="1:14" ht="37.5" x14ac:dyDescent="0.3">
      <c r="A13" s="35">
        <v>12</v>
      </c>
      <c r="B13" s="77" t="s">
        <v>65</v>
      </c>
      <c r="C13" s="174" t="s">
        <v>17</v>
      </c>
      <c r="D13" s="178" t="s">
        <v>64</v>
      </c>
      <c r="E13" s="83"/>
      <c r="F13" s="83"/>
      <c r="G13" s="83"/>
      <c r="H13" s="83"/>
      <c r="I13" s="83"/>
      <c r="J13" s="83"/>
      <c r="K13" s="83"/>
      <c r="L13" s="174" t="s">
        <v>17</v>
      </c>
      <c r="M13" s="35" t="s">
        <v>9</v>
      </c>
      <c r="N13" s="174" t="s">
        <v>17</v>
      </c>
    </row>
    <row r="14" spans="1:14" s="176" customFormat="1" ht="37.5" x14ac:dyDescent="0.3">
      <c r="A14" s="35">
        <v>13</v>
      </c>
      <c r="B14" s="77" t="s">
        <v>65</v>
      </c>
      <c r="C14" s="35" t="s">
        <v>26</v>
      </c>
      <c r="D14" s="77" t="s">
        <v>71</v>
      </c>
      <c r="E14" s="83"/>
      <c r="F14" s="83"/>
      <c r="G14" s="83"/>
      <c r="H14" s="83"/>
      <c r="I14" s="83"/>
      <c r="J14" s="83"/>
      <c r="K14" s="83"/>
      <c r="L14" s="35" t="s">
        <v>26</v>
      </c>
      <c r="M14" s="35" t="s">
        <v>9</v>
      </c>
      <c r="N14" s="174" t="s">
        <v>19</v>
      </c>
    </row>
    <row r="15" spans="1:14" ht="37.5" x14ac:dyDescent="0.3">
      <c r="A15" s="35">
        <v>14</v>
      </c>
      <c r="B15" s="77" t="s">
        <v>764</v>
      </c>
      <c r="C15" s="35" t="s">
        <v>27</v>
      </c>
      <c r="D15" s="77" t="s">
        <v>74</v>
      </c>
      <c r="E15" s="83"/>
      <c r="F15" s="83"/>
      <c r="G15" s="83"/>
      <c r="H15" s="83"/>
      <c r="I15" s="83"/>
      <c r="J15" s="83"/>
      <c r="K15" s="83"/>
      <c r="L15" s="35" t="s">
        <v>27</v>
      </c>
      <c r="M15" s="35" t="s">
        <v>9</v>
      </c>
      <c r="N15" s="174" t="s">
        <v>36</v>
      </c>
    </row>
    <row r="16" spans="1:14" s="65" customFormat="1" ht="37.5" x14ac:dyDescent="0.25">
      <c r="A16" s="35">
        <v>15</v>
      </c>
      <c r="B16" s="77" t="s">
        <v>65</v>
      </c>
      <c r="C16" s="35" t="s">
        <v>28</v>
      </c>
      <c r="D16" s="77" t="s">
        <v>1736</v>
      </c>
      <c r="E16" s="177"/>
      <c r="F16" s="177"/>
      <c r="G16" s="177"/>
      <c r="H16" s="177"/>
      <c r="I16" s="177"/>
      <c r="J16" s="177"/>
      <c r="K16" s="177"/>
      <c r="L16" s="35" t="s">
        <v>28</v>
      </c>
      <c r="M16" s="35" t="s">
        <v>9</v>
      </c>
      <c r="N16" s="174" t="s">
        <v>36</v>
      </c>
    </row>
    <row r="17" spans="1:14" s="65" customFormat="1" ht="37.5" x14ac:dyDescent="0.25">
      <c r="A17" s="35">
        <v>16</v>
      </c>
      <c r="B17" s="77" t="s">
        <v>65</v>
      </c>
      <c r="C17" s="35" t="s">
        <v>29</v>
      </c>
      <c r="D17" s="77" t="s">
        <v>59</v>
      </c>
      <c r="E17" s="177"/>
      <c r="F17" s="177"/>
      <c r="G17" s="177"/>
      <c r="H17" s="177"/>
      <c r="I17" s="177"/>
      <c r="J17" s="177"/>
      <c r="K17" s="177"/>
      <c r="L17" s="35" t="s">
        <v>29</v>
      </c>
      <c r="M17" s="35" t="s">
        <v>9</v>
      </c>
      <c r="N17" s="35"/>
    </row>
    <row r="18" spans="1:14" ht="37.5" x14ac:dyDescent="0.3">
      <c r="A18" s="35">
        <v>17</v>
      </c>
      <c r="B18" s="77" t="s">
        <v>65</v>
      </c>
      <c r="C18" s="35" t="s">
        <v>30</v>
      </c>
      <c r="D18" s="77" t="s">
        <v>69</v>
      </c>
      <c r="E18" s="83"/>
      <c r="F18" s="83"/>
      <c r="G18" s="83"/>
      <c r="H18" s="83"/>
      <c r="I18" s="83"/>
      <c r="J18" s="83"/>
      <c r="K18" s="83"/>
      <c r="L18" s="35" t="s">
        <v>30</v>
      </c>
      <c r="M18" s="35" t="s">
        <v>9</v>
      </c>
      <c r="N18" s="174" t="s">
        <v>19</v>
      </c>
    </row>
    <row r="19" spans="1:14" ht="37.5" x14ac:dyDescent="0.3">
      <c r="A19" s="35">
        <v>18</v>
      </c>
      <c r="B19" s="77" t="s">
        <v>65</v>
      </c>
      <c r="C19" s="35" t="s">
        <v>31</v>
      </c>
      <c r="D19" s="77" t="s">
        <v>76</v>
      </c>
      <c r="E19" s="83"/>
      <c r="F19" s="83"/>
      <c r="G19" s="83"/>
      <c r="H19" s="83"/>
      <c r="I19" s="83"/>
      <c r="J19" s="83"/>
      <c r="K19" s="83"/>
      <c r="L19" s="35" t="s">
        <v>31</v>
      </c>
      <c r="M19" s="35" t="s">
        <v>9</v>
      </c>
      <c r="N19" s="174" t="s">
        <v>19</v>
      </c>
    </row>
    <row r="20" spans="1:14" ht="37.5" x14ac:dyDescent="0.3">
      <c r="A20" s="35">
        <v>19</v>
      </c>
      <c r="B20" s="77" t="s">
        <v>765</v>
      </c>
      <c r="C20" s="35" t="s">
        <v>33</v>
      </c>
      <c r="D20" s="77" t="s">
        <v>52</v>
      </c>
      <c r="E20" s="83"/>
      <c r="F20" s="83"/>
      <c r="G20" s="83"/>
      <c r="H20" s="83"/>
      <c r="I20" s="83"/>
      <c r="J20" s="83"/>
      <c r="K20" s="83"/>
      <c r="L20" s="35" t="s">
        <v>33</v>
      </c>
      <c r="M20" s="35" t="s">
        <v>9</v>
      </c>
      <c r="N20" s="174" t="s">
        <v>36</v>
      </c>
    </row>
    <row r="21" spans="1:14" ht="37.5" x14ac:dyDescent="0.3">
      <c r="A21" s="35">
        <v>20</v>
      </c>
      <c r="B21" s="77" t="s">
        <v>766</v>
      </c>
      <c r="C21" s="35" t="s">
        <v>34</v>
      </c>
      <c r="D21" s="77" t="s">
        <v>51</v>
      </c>
      <c r="E21" s="83"/>
      <c r="F21" s="83"/>
      <c r="G21" s="83"/>
      <c r="H21" s="83"/>
      <c r="I21" s="83"/>
      <c r="J21" s="83"/>
      <c r="K21" s="83"/>
      <c r="L21" s="35" t="s">
        <v>34</v>
      </c>
      <c r="M21" s="35" t="s">
        <v>9</v>
      </c>
      <c r="N21" s="174" t="s">
        <v>36</v>
      </c>
    </row>
    <row r="22" spans="1:14" ht="37.5" x14ac:dyDescent="0.3">
      <c r="A22" s="35">
        <v>21</v>
      </c>
      <c r="B22" s="77" t="s">
        <v>767</v>
      </c>
      <c r="C22" s="35" t="s">
        <v>35</v>
      </c>
      <c r="D22" s="77" t="s">
        <v>50</v>
      </c>
      <c r="E22" s="83"/>
      <c r="F22" s="83"/>
      <c r="G22" s="83"/>
      <c r="H22" s="83"/>
      <c r="I22" s="83"/>
      <c r="J22" s="83"/>
      <c r="K22" s="83"/>
      <c r="L22" s="35" t="s">
        <v>35</v>
      </c>
      <c r="M22" s="35" t="s">
        <v>9</v>
      </c>
      <c r="N22" s="174" t="s">
        <v>19</v>
      </c>
    </row>
    <row r="23" spans="1:14" ht="37.5" x14ac:dyDescent="0.3">
      <c r="A23" s="35">
        <v>22</v>
      </c>
      <c r="B23" s="77" t="s">
        <v>768</v>
      </c>
      <c r="C23" s="174" t="s">
        <v>36</v>
      </c>
      <c r="D23" s="178" t="s">
        <v>49</v>
      </c>
      <c r="E23" s="83"/>
      <c r="F23" s="83"/>
      <c r="G23" s="83"/>
      <c r="H23" s="83"/>
      <c r="I23" s="83"/>
      <c r="J23" s="83"/>
      <c r="K23" s="83"/>
      <c r="L23" s="174" t="s">
        <v>36</v>
      </c>
      <c r="M23" s="35" t="s">
        <v>9</v>
      </c>
      <c r="N23" s="174" t="s">
        <v>36</v>
      </c>
    </row>
    <row r="24" spans="1:14" ht="37.5" x14ac:dyDescent="0.3">
      <c r="A24" s="35">
        <v>23</v>
      </c>
      <c r="B24" s="77" t="s">
        <v>769</v>
      </c>
      <c r="C24" s="35" t="s">
        <v>37</v>
      </c>
      <c r="D24" s="77" t="s">
        <v>48</v>
      </c>
      <c r="E24" s="83"/>
      <c r="F24" s="83"/>
      <c r="G24" s="83"/>
      <c r="H24" s="83"/>
      <c r="I24" s="83"/>
      <c r="J24" s="83"/>
      <c r="K24" s="83"/>
      <c r="L24" s="35" t="s">
        <v>37</v>
      </c>
      <c r="M24" s="35" t="s">
        <v>9</v>
      </c>
      <c r="N24" s="174" t="s">
        <v>36</v>
      </c>
    </row>
    <row r="25" spans="1:14" ht="37.5" x14ac:dyDescent="0.3">
      <c r="A25" s="35">
        <v>24</v>
      </c>
      <c r="B25" s="77" t="s">
        <v>770</v>
      </c>
      <c r="C25" s="35" t="s">
        <v>38</v>
      </c>
      <c r="D25" s="77" t="s">
        <v>46</v>
      </c>
      <c r="E25" s="83"/>
      <c r="F25" s="83"/>
      <c r="G25" s="83"/>
      <c r="H25" s="83"/>
      <c r="I25" s="83"/>
      <c r="J25" s="83"/>
      <c r="K25" s="83"/>
      <c r="L25" s="35" t="s">
        <v>38</v>
      </c>
      <c r="M25" s="35" t="s">
        <v>9</v>
      </c>
      <c r="N25" s="174" t="s">
        <v>19</v>
      </c>
    </row>
    <row r="26" spans="1:14" ht="37.5" x14ac:dyDescent="0.3">
      <c r="A26" s="35">
        <v>25</v>
      </c>
      <c r="B26" s="77" t="s">
        <v>771</v>
      </c>
      <c r="C26" s="35" t="s">
        <v>39</v>
      </c>
      <c r="D26" s="77" t="s">
        <v>47</v>
      </c>
      <c r="E26" s="83"/>
      <c r="F26" s="83"/>
      <c r="G26" s="83"/>
      <c r="H26" s="83"/>
      <c r="I26" s="83"/>
      <c r="J26" s="83"/>
      <c r="K26" s="83"/>
      <c r="L26" s="35" t="s">
        <v>39</v>
      </c>
      <c r="M26" s="35" t="s">
        <v>9</v>
      </c>
      <c r="N26" s="174" t="s">
        <v>19</v>
      </c>
    </row>
    <row r="27" spans="1:14" ht="37.5" x14ac:dyDescent="0.3">
      <c r="A27" s="35">
        <v>26</v>
      </c>
      <c r="B27" s="77" t="s">
        <v>772</v>
      </c>
      <c r="C27" s="35" t="s">
        <v>40</v>
      </c>
      <c r="D27" s="77" t="s">
        <v>1123</v>
      </c>
      <c r="E27" s="83"/>
      <c r="F27" s="83"/>
      <c r="G27" s="83"/>
      <c r="H27" s="83"/>
      <c r="I27" s="83"/>
      <c r="J27" s="83"/>
      <c r="K27" s="83"/>
      <c r="L27" s="35" t="s">
        <v>40</v>
      </c>
      <c r="M27" s="35" t="s">
        <v>9</v>
      </c>
      <c r="N27" s="174" t="s">
        <v>36</v>
      </c>
    </row>
    <row r="28" spans="1:14" ht="37.5" x14ac:dyDescent="0.3">
      <c r="A28" s="35">
        <v>27</v>
      </c>
      <c r="B28" s="77" t="s">
        <v>773</v>
      </c>
      <c r="C28" s="35" t="s">
        <v>41</v>
      </c>
      <c r="D28" s="77" t="s">
        <v>1124</v>
      </c>
      <c r="E28" s="83"/>
      <c r="F28" s="83"/>
      <c r="G28" s="83"/>
      <c r="H28" s="83"/>
      <c r="I28" s="83"/>
      <c r="J28" s="83"/>
      <c r="K28" s="83"/>
      <c r="L28" s="35" t="s">
        <v>41</v>
      </c>
      <c r="M28" s="35" t="s">
        <v>9</v>
      </c>
      <c r="N28" s="174" t="s">
        <v>36</v>
      </c>
    </row>
    <row r="29" spans="1:14" ht="37.5" x14ac:dyDescent="0.3">
      <c r="A29" s="35">
        <v>28</v>
      </c>
      <c r="B29" s="77" t="s">
        <v>66</v>
      </c>
      <c r="C29" s="35" t="s">
        <v>12</v>
      </c>
      <c r="D29" s="77" t="s">
        <v>13</v>
      </c>
      <c r="E29" s="83"/>
      <c r="F29" s="83"/>
      <c r="G29" s="83"/>
      <c r="H29" s="83"/>
      <c r="I29" s="83"/>
      <c r="J29" s="83"/>
      <c r="K29" s="83"/>
      <c r="L29" s="35" t="s">
        <v>12</v>
      </c>
      <c r="M29" s="35" t="s">
        <v>9</v>
      </c>
      <c r="N29" s="174" t="s">
        <v>19</v>
      </c>
    </row>
    <row r="30" spans="1:14" s="65" customFormat="1" ht="37.5" x14ac:dyDescent="0.25">
      <c r="A30" s="35">
        <v>29</v>
      </c>
      <c r="B30" s="77" t="s">
        <v>65</v>
      </c>
      <c r="C30" s="35" t="s">
        <v>42</v>
      </c>
      <c r="D30" s="77" t="s">
        <v>60</v>
      </c>
      <c r="E30" s="177"/>
      <c r="F30" s="177"/>
      <c r="G30" s="177"/>
      <c r="H30" s="177"/>
      <c r="I30" s="177"/>
      <c r="J30" s="177"/>
      <c r="K30" s="177"/>
      <c r="L30" s="35" t="s">
        <v>42</v>
      </c>
      <c r="M30" s="35" t="s">
        <v>9</v>
      </c>
      <c r="N30" s="174" t="s">
        <v>36</v>
      </c>
    </row>
    <row r="31" spans="1:14" ht="37.5" x14ac:dyDescent="0.3">
      <c r="A31" s="35">
        <v>30</v>
      </c>
      <c r="B31" s="77" t="s">
        <v>62</v>
      </c>
      <c r="C31" s="179" t="s">
        <v>19</v>
      </c>
      <c r="D31" s="178" t="s">
        <v>63</v>
      </c>
      <c r="E31" s="83"/>
      <c r="F31" s="83"/>
      <c r="G31" s="83"/>
      <c r="H31" s="83"/>
      <c r="I31" s="83"/>
      <c r="J31" s="83"/>
      <c r="K31" s="83"/>
      <c r="L31" s="179" t="s">
        <v>19</v>
      </c>
      <c r="M31" s="35" t="s">
        <v>9</v>
      </c>
      <c r="N31" s="174" t="s">
        <v>19</v>
      </c>
    </row>
    <row r="32" spans="1:14" ht="37.5" x14ac:dyDescent="0.3">
      <c r="A32" s="35">
        <v>31</v>
      </c>
      <c r="B32" s="77" t="s">
        <v>65</v>
      </c>
      <c r="C32" s="35" t="s">
        <v>80</v>
      </c>
      <c r="D32" s="77" t="s">
        <v>85</v>
      </c>
      <c r="E32" s="83"/>
      <c r="F32" s="83"/>
      <c r="G32" s="83"/>
      <c r="H32" s="83"/>
      <c r="I32" s="83"/>
      <c r="J32" s="83"/>
      <c r="K32" s="83"/>
      <c r="L32" s="35" t="s">
        <v>80</v>
      </c>
      <c r="M32" s="35" t="s">
        <v>9</v>
      </c>
      <c r="N32" s="174" t="s">
        <v>36</v>
      </c>
    </row>
    <row r="33" spans="1:14" ht="37.5" x14ac:dyDescent="0.3">
      <c r="A33" s="35">
        <v>32</v>
      </c>
      <c r="B33" s="77" t="s">
        <v>68</v>
      </c>
      <c r="C33" s="35" t="s">
        <v>81</v>
      </c>
      <c r="D33" s="77" t="s">
        <v>86</v>
      </c>
      <c r="E33" s="83"/>
      <c r="F33" s="83"/>
      <c r="G33" s="83"/>
      <c r="H33" s="83"/>
      <c r="I33" s="83"/>
      <c r="J33" s="83"/>
      <c r="K33" s="83"/>
      <c r="L33" s="35" t="s">
        <v>81</v>
      </c>
      <c r="M33" s="35" t="s">
        <v>9</v>
      </c>
      <c r="N33" s="174" t="s">
        <v>36</v>
      </c>
    </row>
    <row r="34" spans="1:14" ht="37.5" x14ac:dyDescent="0.3">
      <c r="A34" s="35">
        <v>33</v>
      </c>
      <c r="B34" s="77" t="s">
        <v>65</v>
      </c>
      <c r="C34" s="35" t="s">
        <v>83</v>
      </c>
      <c r="D34" s="77" t="s">
        <v>88</v>
      </c>
      <c r="E34" s="83"/>
      <c r="F34" s="83"/>
      <c r="G34" s="83"/>
      <c r="H34" s="83"/>
      <c r="I34" s="83"/>
      <c r="J34" s="83"/>
      <c r="K34" s="83"/>
      <c r="L34" s="35" t="s">
        <v>83</v>
      </c>
      <c r="M34" s="35" t="s">
        <v>9</v>
      </c>
      <c r="N34" s="174" t="s">
        <v>36</v>
      </c>
    </row>
    <row r="35" spans="1:14" ht="37.5" x14ac:dyDescent="0.3">
      <c r="A35" s="35">
        <v>34</v>
      </c>
      <c r="B35" s="77" t="s">
        <v>65</v>
      </c>
      <c r="C35" s="35" t="s">
        <v>84</v>
      </c>
      <c r="D35" s="77" t="s">
        <v>89</v>
      </c>
      <c r="E35" s="83"/>
      <c r="F35" s="83"/>
      <c r="G35" s="83"/>
      <c r="H35" s="83"/>
      <c r="I35" s="83"/>
      <c r="J35" s="83"/>
      <c r="K35" s="83"/>
      <c r="L35" s="35" t="s">
        <v>84</v>
      </c>
      <c r="M35" s="35" t="s">
        <v>9</v>
      </c>
      <c r="N35" s="174" t="s">
        <v>36</v>
      </c>
    </row>
    <row r="36" spans="1:14" ht="37.5" x14ac:dyDescent="0.3">
      <c r="A36" s="35">
        <v>35</v>
      </c>
      <c r="B36" s="77" t="s">
        <v>65</v>
      </c>
      <c r="C36" s="35" t="s">
        <v>82</v>
      </c>
      <c r="D36" s="77" t="s">
        <v>87</v>
      </c>
      <c r="E36" s="83"/>
      <c r="F36" s="83"/>
      <c r="G36" s="83"/>
      <c r="H36" s="83"/>
      <c r="I36" s="83"/>
      <c r="J36" s="83"/>
      <c r="K36" s="83"/>
      <c r="L36" s="35" t="s">
        <v>82</v>
      </c>
      <c r="M36" s="35" t="s">
        <v>9</v>
      </c>
      <c r="N36" s="174" t="s">
        <v>36</v>
      </c>
    </row>
    <row r="37" spans="1:14" ht="37.5" x14ac:dyDescent="0.3">
      <c r="A37" s="35">
        <v>36</v>
      </c>
      <c r="B37" s="77" t="s">
        <v>65</v>
      </c>
      <c r="C37" s="35" t="s">
        <v>762</v>
      </c>
      <c r="D37" s="77" t="s">
        <v>1738</v>
      </c>
      <c r="E37" s="83"/>
      <c r="F37" s="83"/>
      <c r="G37" s="83"/>
      <c r="H37" s="83"/>
      <c r="I37" s="83"/>
      <c r="J37" s="83"/>
      <c r="K37" s="83"/>
      <c r="L37" s="35" t="s">
        <v>762</v>
      </c>
      <c r="M37" s="35" t="s">
        <v>9</v>
      </c>
      <c r="N37" s="174" t="s">
        <v>36</v>
      </c>
    </row>
    <row r="38" spans="1:14" ht="37.5" x14ac:dyDescent="0.3">
      <c r="A38" s="35">
        <v>37</v>
      </c>
      <c r="B38" s="180" t="s">
        <v>65</v>
      </c>
      <c r="C38" s="35" t="s">
        <v>1126</v>
      </c>
      <c r="D38" s="77" t="s">
        <v>1137</v>
      </c>
      <c r="E38" s="83"/>
      <c r="F38" s="83"/>
      <c r="G38" s="83"/>
      <c r="H38" s="83"/>
      <c r="I38" s="83"/>
      <c r="J38" s="83"/>
      <c r="K38" s="83"/>
      <c r="L38" s="35" t="s">
        <v>1126</v>
      </c>
      <c r="M38" s="35" t="s">
        <v>9</v>
      </c>
    </row>
    <row r="39" spans="1:14" ht="37.5" x14ac:dyDescent="0.3">
      <c r="A39" s="35">
        <v>38</v>
      </c>
      <c r="B39" s="180" t="s">
        <v>65</v>
      </c>
      <c r="C39" s="35" t="s">
        <v>1127</v>
      </c>
      <c r="D39" s="77" t="s">
        <v>1138</v>
      </c>
      <c r="E39" s="83"/>
      <c r="F39" s="83"/>
      <c r="G39" s="83"/>
      <c r="H39" s="83"/>
      <c r="I39" s="83"/>
      <c r="J39" s="83"/>
      <c r="K39" s="83"/>
      <c r="L39" s="35" t="s">
        <v>1127</v>
      </c>
      <c r="M39" s="35" t="s">
        <v>9</v>
      </c>
    </row>
    <row r="40" spans="1:14" ht="37.5" x14ac:dyDescent="0.3">
      <c r="A40" s="35">
        <v>39</v>
      </c>
      <c r="B40" s="180" t="s">
        <v>65</v>
      </c>
      <c r="C40" s="35" t="s">
        <v>1128</v>
      </c>
      <c r="D40" s="77" t="s">
        <v>1139</v>
      </c>
      <c r="E40" s="83"/>
      <c r="F40" s="83"/>
      <c r="G40" s="83"/>
      <c r="H40" s="83"/>
      <c r="I40" s="83"/>
      <c r="J40" s="83"/>
      <c r="K40" s="83"/>
      <c r="L40" s="35" t="s">
        <v>1128</v>
      </c>
      <c r="M40" s="35" t="s">
        <v>9</v>
      </c>
    </row>
    <row r="41" spans="1:14" ht="37.5" x14ac:dyDescent="0.3">
      <c r="A41" s="35">
        <v>40</v>
      </c>
      <c r="B41" s="180" t="s">
        <v>65</v>
      </c>
      <c r="C41" s="35" t="s">
        <v>1129</v>
      </c>
      <c r="D41" s="77" t="s">
        <v>1140</v>
      </c>
      <c r="E41" s="83"/>
      <c r="F41" s="83"/>
      <c r="G41" s="83"/>
      <c r="H41" s="83"/>
      <c r="I41" s="83"/>
      <c r="J41" s="83"/>
      <c r="K41" s="83"/>
      <c r="L41" s="35" t="s">
        <v>1129</v>
      </c>
      <c r="M41" s="35" t="s">
        <v>9</v>
      </c>
    </row>
    <row r="42" spans="1:14" ht="37.5" x14ac:dyDescent="0.3">
      <c r="A42" s="35">
        <v>41</v>
      </c>
      <c r="B42" s="180" t="s">
        <v>65</v>
      </c>
      <c r="C42" s="35" t="s">
        <v>1130</v>
      </c>
      <c r="D42" s="77" t="s">
        <v>1141</v>
      </c>
      <c r="E42" s="83"/>
      <c r="F42" s="83"/>
      <c r="G42" s="83"/>
      <c r="H42" s="83"/>
      <c r="I42" s="83"/>
      <c r="J42" s="83"/>
      <c r="K42" s="83"/>
      <c r="L42" s="35" t="s">
        <v>1130</v>
      </c>
      <c r="M42" s="35" t="s">
        <v>9</v>
      </c>
    </row>
    <row r="43" spans="1:14" ht="37.5" x14ac:dyDescent="0.3">
      <c r="A43" s="35">
        <v>42</v>
      </c>
      <c r="B43" s="180" t="s">
        <v>65</v>
      </c>
      <c r="C43" s="35" t="s">
        <v>1131</v>
      </c>
      <c r="D43" s="77" t="s">
        <v>1142</v>
      </c>
      <c r="E43" s="83"/>
      <c r="F43" s="83"/>
      <c r="G43" s="83"/>
      <c r="H43" s="83"/>
      <c r="I43" s="83"/>
      <c r="J43" s="83"/>
      <c r="K43" s="83"/>
      <c r="L43" s="35" t="s">
        <v>1131</v>
      </c>
      <c r="M43" s="35" t="s">
        <v>9</v>
      </c>
    </row>
    <row r="44" spans="1:14" ht="37.5" x14ac:dyDescent="0.3">
      <c r="A44" s="35">
        <v>43</v>
      </c>
      <c r="B44" s="180" t="s">
        <v>65</v>
      </c>
      <c r="C44" s="35" t="s">
        <v>1132</v>
      </c>
      <c r="D44" s="77" t="s">
        <v>1143</v>
      </c>
      <c r="E44" s="83"/>
      <c r="F44" s="83"/>
      <c r="G44" s="83"/>
      <c r="H44" s="83"/>
      <c r="I44" s="83"/>
      <c r="J44" s="83"/>
      <c r="K44" s="83"/>
      <c r="L44" s="35" t="s">
        <v>1132</v>
      </c>
      <c r="M44" s="35" t="s">
        <v>9</v>
      </c>
    </row>
    <row r="45" spans="1:14" ht="37.5" x14ac:dyDescent="0.3">
      <c r="A45" s="35">
        <v>44</v>
      </c>
      <c r="B45" s="180" t="s">
        <v>65</v>
      </c>
      <c r="C45" s="35" t="s">
        <v>1133</v>
      </c>
      <c r="D45" s="77" t="s">
        <v>1144</v>
      </c>
      <c r="E45" s="83"/>
      <c r="F45" s="83"/>
      <c r="G45" s="83"/>
      <c r="H45" s="83"/>
      <c r="I45" s="83"/>
      <c r="J45" s="83"/>
      <c r="K45" s="83"/>
      <c r="L45" s="35" t="s">
        <v>1133</v>
      </c>
      <c r="M45" s="35" t="s">
        <v>9</v>
      </c>
    </row>
    <row r="46" spans="1:14" ht="37.5" x14ac:dyDescent="0.3">
      <c r="A46" s="35">
        <v>45</v>
      </c>
      <c r="B46" s="180" t="s">
        <v>65</v>
      </c>
      <c r="C46" s="35" t="s">
        <v>1134</v>
      </c>
      <c r="D46" s="77" t="s">
        <v>1145</v>
      </c>
      <c r="E46" s="83"/>
      <c r="F46" s="83"/>
      <c r="G46" s="83"/>
      <c r="H46" s="83"/>
      <c r="I46" s="83"/>
      <c r="J46" s="83"/>
      <c r="K46" s="83"/>
      <c r="L46" s="35" t="s">
        <v>1134</v>
      </c>
      <c r="M46" s="35" t="s">
        <v>9</v>
      </c>
    </row>
    <row r="47" spans="1:14" ht="37.5" x14ac:dyDescent="0.3">
      <c r="A47" s="35">
        <v>46</v>
      </c>
      <c r="B47" s="180" t="s">
        <v>65</v>
      </c>
      <c r="C47" s="35" t="s">
        <v>1135</v>
      </c>
      <c r="D47" s="77" t="s">
        <v>1146</v>
      </c>
      <c r="E47" s="83"/>
      <c r="F47" s="83"/>
      <c r="G47" s="83"/>
      <c r="H47" s="83"/>
      <c r="I47" s="83"/>
      <c r="J47" s="83"/>
      <c r="K47" s="83"/>
      <c r="L47" s="35" t="s">
        <v>1135</v>
      </c>
      <c r="M47" s="35" t="s">
        <v>9</v>
      </c>
    </row>
    <row r="48" spans="1:14" ht="37.5" x14ac:dyDescent="0.3">
      <c r="A48" s="35">
        <v>47</v>
      </c>
      <c r="B48" s="180" t="s">
        <v>65</v>
      </c>
      <c r="C48" s="35" t="s">
        <v>1136</v>
      </c>
      <c r="D48" s="77" t="s">
        <v>1147</v>
      </c>
      <c r="E48" s="83"/>
      <c r="F48" s="83"/>
      <c r="G48" s="83"/>
      <c r="H48" s="83"/>
      <c r="I48" s="83"/>
      <c r="J48" s="83"/>
      <c r="K48" s="83"/>
      <c r="L48" s="35" t="s">
        <v>1136</v>
      </c>
      <c r="M48" s="35" t="s">
        <v>9</v>
      </c>
    </row>
    <row r="49" spans="1:14" ht="37.5" x14ac:dyDescent="0.3">
      <c r="A49" s="35">
        <v>48</v>
      </c>
      <c r="B49" s="77" t="s">
        <v>65</v>
      </c>
      <c r="C49" s="35" t="s">
        <v>1312</v>
      </c>
      <c r="D49" s="77" t="s">
        <v>1951</v>
      </c>
      <c r="E49" s="83"/>
      <c r="F49" s="83"/>
      <c r="G49" s="83"/>
      <c r="H49" s="83"/>
      <c r="I49" s="83"/>
      <c r="J49" s="83"/>
      <c r="K49" s="83"/>
      <c r="L49" s="35"/>
      <c r="M49" s="35"/>
      <c r="N49" s="181"/>
    </row>
    <row r="50" spans="1:14" ht="37.5" x14ac:dyDescent="0.3">
      <c r="A50" s="35">
        <v>49</v>
      </c>
      <c r="B50" s="77" t="s">
        <v>65</v>
      </c>
      <c r="C50" s="35" t="s">
        <v>1739</v>
      </c>
      <c r="D50" s="77" t="s">
        <v>1952</v>
      </c>
      <c r="E50" s="83"/>
      <c r="F50" s="83"/>
      <c r="G50" s="83"/>
      <c r="H50" s="83"/>
      <c r="I50" s="83"/>
      <c r="J50" s="83"/>
      <c r="K50" s="83"/>
      <c r="L50" s="35"/>
      <c r="M50" s="35"/>
      <c r="N50" s="181"/>
    </row>
    <row r="51" spans="1:14" ht="37.5" x14ac:dyDescent="0.3">
      <c r="A51" s="35">
        <v>50</v>
      </c>
      <c r="B51" s="77" t="s">
        <v>65</v>
      </c>
      <c r="C51" s="35" t="s">
        <v>1586</v>
      </c>
      <c r="D51" s="77" t="s">
        <v>1953</v>
      </c>
      <c r="E51" s="83"/>
      <c r="F51" s="83"/>
      <c r="G51" s="83"/>
      <c r="H51" s="83"/>
      <c r="I51" s="83"/>
      <c r="J51" s="83"/>
      <c r="K51" s="83"/>
      <c r="L51" s="35"/>
      <c r="M51" s="35"/>
      <c r="N51" s="181"/>
    </row>
    <row r="52" spans="1:14" ht="37.5" x14ac:dyDescent="0.3">
      <c r="A52" s="35">
        <v>51</v>
      </c>
      <c r="B52" s="77" t="s">
        <v>65</v>
      </c>
      <c r="C52" s="35" t="s">
        <v>1594</v>
      </c>
      <c r="D52" s="77" t="s">
        <v>1954</v>
      </c>
      <c r="E52" s="83"/>
      <c r="F52" s="83"/>
      <c r="G52" s="83"/>
      <c r="H52" s="83"/>
      <c r="I52" s="83"/>
      <c r="J52" s="83"/>
      <c r="K52" s="83"/>
      <c r="L52" s="35"/>
      <c r="M52" s="35"/>
      <c r="N52" s="181"/>
    </row>
    <row r="53" spans="1:14" ht="37.5" x14ac:dyDescent="0.3">
      <c r="A53" s="35">
        <v>52</v>
      </c>
      <c r="B53" s="77" t="s">
        <v>65</v>
      </c>
      <c r="C53" s="35" t="s">
        <v>1206</v>
      </c>
      <c r="D53" s="77" t="s">
        <v>1955</v>
      </c>
      <c r="E53" s="83"/>
      <c r="F53" s="83"/>
      <c r="G53" s="83"/>
      <c r="H53" s="83"/>
      <c r="I53" s="83"/>
      <c r="J53" s="83"/>
      <c r="K53" s="83"/>
      <c r="L53" s="35"/>
      <c r="M53" s="35"/>
      <c r="N53" s="181"/>
    </row>
    <row r="54" spans="1:14" ht="37.5" x14ac:dyDescent="0.3">
      <c r="A54" s="35">
        <v>53</v>
      </c>
      <c r="B54" s="77" t="s">
        <v>65</v>
      </c>
      <c r="C54" s="35" t="s">
        <v>1231</v>
      </c>
      <c r="D54" s="77" t="s">
        <v>1956</v>
      </c>
      <c r="E54" s="83"/>
      <c r="F54" s="83"/>
      <c r="G54" s="83"/>
      <c r="H54" s="83"/>
      <c r="I54" s="83"/>
      <c r="J54" s="83"/>
      <c r="K54" s="83"/>
      <c r="L54" s="35"/>
      <c r="M54" s="35"/>
      <c r="N54" s="181"/>
    </row>
    <row r="55" spans="1:14" ht="37.5" x14ac:dyDescent="0.3">
      <c r="A55" s="35">
        <v>54</v>
      </c>
      <c r="B55" s="77" t="s">
        <v>65</v>
      </c>
      <c r="C55" s="35" t="s">
        <v>1631</v>
      </c>
      <c r="D55" s="77" t="s">
        <v>1957</v>
      </c>
      <c r="E55" s="83"/>
      <c r="F55" s="83"/>
      <c r="G55" s="83"/>
      <c r="H55" s="83"/>
      <c r="I55" s="83"/>
      <c r="J55" s="83"/>
      <c r="K55" s="83"/>
      <c r="L55" s="35"/>
      <c r="M55" s="35"/>
      <c r="N55" s="181"/>
    </row>
    <row r="56" spans="1:14" ht="37.5" x14ac:dyDescent="0.3">
      <c r="A56" s="35">
        <v>55</v>
      </c>
      <c r="B56" s="77" t="s">
        <v>65</v>
      </c>
      <c r="C56" s="35" t="s">
        <v>1331</v>
      </c>
      <c r="D56" s="77" t="s">
        <v>1958</v>
      </c>
      <c r="E56" s="83"/>
      <c r="F56" s="83"/>
      <c r="G56" s="83"/>
      <c r="H56" s="83"/>
      <c r="I56" s="83"/>
      <c r="J56" s="83"/>
      <c r="K56" s="83"/>
      <c r="L56" s="35"/>
      <c r="M56" s="35"/>
      <c r="N56" s="181"/>
    </row>
    <row r="57" spans="1:14" ht="37.5" x14ac:dyDescent="0.3">
      <c r="A57" s="35">
        <v>56</v>
      </c>
      <c r="B57" s="77" t="s">
        <v>65</v>
      </c>
      <c r="C57" s="35" t="s">
        <v>1345</v>
      </c>
      <c r="D57" s="77" t="s">
        <v>1959</v>
      </c>
      <c r="E57" s="83"/>
      <c r="F57" s="83"/>
      <c r="G57" s="83"/>
      <c r="H57" s="83"/>
      <c r="I57" s="83"/>
      <c r="J57" s="83"/>
      <c r="K57" s="83"/>
      <c r="L57" s="35"/>
      <c r="M57" s="35"/>
      <c r="N57" s="181"/>
    </row>
    <row r="58" spans="1:14" ht="37.5" x14ac:dyDescent="0.3">
      <c r="A58" s="35">
        <v>57</v>
      </c>
      <c r="B58" s="77" t="s">
        <v>65</v>
      </c>
      <c r="C58" s="35" t="s">
        <v>1553</v>
      </c>
      <c r="D58" s="77" t="s">
        <v>1960</v>
      </c>
      <c r="E58" s="83"/>
      <c r="F58" s="83"/>
      <c r="G58" s="83"/>
      <c r="H58" s="83"/>
      <c r="I58" s="83"/>
      <c r="J58" s="83"/>
      <c r="K58" s="83"/>
      <c r="L58" s="35"/>
      <c r="M58" s="35"/>
      <c r="N58" s="181"/>
    </row>
    <row r="59" spans="1:14" ht="37.5" x14ac:dyDescent="0.3">
      <c r="A59" s="35">
        <v>58</v>
      </c>
      <c r="B59" s="77" t="s">
        <v>65</v>
      </c>
      <c r="C59" s="35" t="s">
        <v>1223</v>
      </c>
      <c r="D59" s="77" t="s">
        <v>1961</v>
      </c>
      <c r="E59" s="83"/>
      <c r="F59" s="83"/>
      <c r="G59" s="83"/>
      <c r="H59" s="83"/>
      <c r="I59" s="83"/>
      <c r="J59" s="83"/>
      <c r="K59" s="83"/>
      <c r="L59" s="35"/>
      <c r="M59" s="35"/>
      <c r="N59" s="181"/>
    </row>
    <row r="60" spans="1:14" ht="37.5" x14ac:dyDescent="0.3">
      <c r="A60" s="35">
        <v>59</v>
      </c>
      <c r="B60" s="77" t="s">
        <v>65</v>
      </c>
      <c r="C60" s="35" t="s">
        <v>1591</v>
      </c>
      <c r="D60" s="77" t="s">
        <v>1962</v>
      </c>
      <c r="E60" s="83"/>
      <c r="F60" s="83"/>
      <c r="G60" s="83"/>
      <c r="H60" s="83"/>
      <c r="I60" s="83"/>
      <c r="J60" s="83"/>
      <c r="K60" s="83"/>
      <c r="L60" s="35"/>
      <c r="M60" s="35"/>
      <c r="N60" s="181"/>
    </row>
    <row r="61" spans="1:14" ht="37.5" x14ac:dyDescent="0.3">
      <c r="A61" s="35">
        <v>60</v>
      </c>
      <c r="B61" s="77" t="s">
        <v>65</v>
      </c>
      <c r="C61" s="35" t="s">
        <v>1402</v>
      </c>
      <c r="D61" s="77" t="s">
        <v>1963</v>
      </c>
      <c r="E61" s="83"/>
      <c r="F61" s="83"/>
      <c r="G61" s="83"/>
      <c r="H61" s="83"/>
      <c r="I61" s="83"/>
      <c r="J61" s="83"/>
      <c r="K61" s="83"/>
      <c r="L61" s="35"/>
      <c r="M61" s="35"/>
      <c r="N61" s="181"/>
    </row>
    <row r="62" spans="1:14" ht="37.5" x14ac:dyDescent="0.3">
      <c r="A62" s="35">
        <v>61</v>
      </c>
      <c r="B62" s="77" t="s">
        <v>65</v>
      </c>
      <c r="C62" s="35" t="s">
        <v>1253</v>
      </c>
      <c r="D62" s="77" t="s">
        <v>1964</v>
      </c>
      <c r="E62" s="83"/>
      <c r="F62" s="83"/>
      <c r="G62" s="83"/>
      <c r="H62" s="83"/>
      <c r="I62" s="83"/>
      <c r="J62" s="83"/>
      <c r="K62" s="83"/>
      <c r="L62" s="35"/>
      <c r="M62" s="35"/>
      <c r="N62" s="181"/>
    </row>
    <row r="63" spans="1:14" ht="37.5" x14ac:dyDescent="0.3">
      <c r="A63" s="35">
        <v>62</v>
      </c>
      <c r="B63" s="77" t="s">
        <v>65</v>
      </c>
      <c r="C63" s="35" t="s">
        <v>1694</v>
      </c>
      <c r="D63" s="77" t="s">
        <v>1965</v>
      </c>
      <c r="E63" s="83"/>
      <c r="F63" s="83"/>
      <c r="G63" s="83"/>
      <c r="H63" s="83"/>
      <c r="I63" s="83"/>
      <c r="J63" s="83"/>
      <c r="K63" s="83"/>
      <c r="L63" s="35"/>
      <c r="M63" s="35"/>
      <c r="N63" s="181"/>
    </row>
    <row r="64" spans="1:14" ht="37.5" x14ac:dyDescent="0.3">
      <c r="A64" s="35">
        <v>63</v>
      </c>
      <c r="B64" s="77" t="s">
        <v>65</v>
      </c>
      <c r="C64" s="35" t="s">
        <v>1371</v>
      </c>
      <c r="D64" s="77" t="s">
        <v>1966</v>
      </c>
      <c r="E64" s="83"/>
      <c r="F64" s="83"/>
      <c r="G64" s="83"/>
      <c r="H64" s="83"/>
      <c r="I64" s="83"/>
      <c r="J64" s="83"/>
      <c r="K64" s="83"/>
      <c r="L64" s="35"/>
      <c r="M64" s="35"/>
      <c r="N64" s="181"/>
    </row>
    <row r="65" spans="1:14" ht="37.5" x14ac:dyDescent="0.3">
      <c r="A65" s="35">
        <v>64</v>
      </c>
      <c r="B65" s="77" t="s">
        <v>65</v>
      </c>
      <c r="C65" s="35" t="s">
        <v>1446</v>
      </c>
      <c r="D65" s="77" t="s">
        <v>1967</v>
      </c>
      <c r="E65" s="83"/>
      <c r="F65" s="83"/>
      <c r="G65" s="83"/>
      <c r="H65" s="83"/>
      <c r="I65" s="83"/>
      <c r="J65" s="83"/>
      <c r="K65" s="83"/>
      <c r="L65" s="35"/>
      <c r="M65" s="35"/>
      <c r="N65" s="181"/>
    </row>
    <row r="66" spans="1:14" ht="37.5" x14ac:dyDescent="0.3">
      <c r="A66" s="35">
        <v>65</v>
      </c>
      <c r="B66" s="77" t="s">
        <v>65</v>
      </c>
      <c r="C66" s="35" t="s">
        <v>1405</v>
      </c>
      <c r="D66" s="77" t="s">
        <v>1968</v>
      </c>
      <c r="E66" s="83"/>
      <c r="F66" s="83"/>
      <c r="G66" s="83"/>
      <c r="H66" s="83"/>
      <c r="I66" s="83"/>
      <c r="J66" s="83"/>
      <c r="K66" s="83"/>
      <c r="L66" s="35"/>
      <c r="M66" s="35"/>
      <c r="N66" s="181"/>
    </row>
    <row r="67" spans="1:14" ht="37.5" x14ac:dyDescent="0.3">
      <c r="A67" s="35">
        <v>66</v>
      </c>
      <c r="B67" s="77" t="s">
        <v>65</v>
      </c>
      <c r="C67" s="35" t="s">
        <v>1435</v>
      </c>
      <c r="D67" s="77" t="s">
        <v>1969</v>
      </c>
      <c r="E67" s="83"/>
      <c r="F67" s="83"/>
      <c r="G67" s="83"/>
      <c r="H67" s="83"/>
      <c r="I67" s="83"/>
      <c r="J67" s="83"/>
      <c r="K67" s="83"/>
      <c r="L67" s="35"/>
      <c r="M67" s="35"/>
      <c r="N67" s="181"/>
    </row>
    <row r="68" spans="1:14" ht="37.5" x14ac:dyDescent="0.3">
      <c r="A68" s="35">
        <v>67</v>
      </c>
      <c r="B68" s="77" t="s">
        <v>65</v>
      </c>
      <c r="C68" s="35" t="s">
        <v>1317</v>
      </c>
      <c r="D68" s="77" t="s">
        <v>1970</v>
      </c>
      <c r="E68" s="83"/>
      <c r="F68" s="83"/>
      <c r="G68" s="83"/>
      <c r="H68" s="83"/>
      <c r="I68" s="83"/>
      <c r="J68" s="83"/>
      <c r="K68" s="83"/>
      <c r="L68" s="35"/>
      <c r="M68" s="35"/>
      <c r="N68" s="181"/>
    </row>
    <row r="69" spans="1:14" ht="37.5" x14ac:dyDescent="0.3">
      <c r="A69" s="35">
        <v>68</v>
      </c>
      <c r="B69" s="77" t="s">
        <v>65</v>
      </c>
      <c r="C69" s="35" t="s">
        <v>1217</v>
      </c>
      <c r="D69" s="77" t="s">
        <v>1971</v>
      </c>
      <c r="E69" s="83"/>
      <c r="F69" s="83"/>
      <c r="G69" s="83"/>
      <c r="H69" s="83"/>
      <c r="I69" s="83"/>
      <c r="J69" s="83"/>
      <c r="K69" s="83"/>
      <c r="L69" s="35"/>
      <c r="M69" s="35"/>
      <c r="N69" s="181"/>
    </row>
    <row r="70" spans="1:14" ht="37.5" x14ac:dyDescent="0.3">
      <c r="A70" s="35">
        <v>69</v>
      </c>
      <c r="B70" s="77" t="s">
        <v>65</v>
      </c>
      <c r="C70" s="35" t="s">
        <v>1512</v>
      </c>
      <c r="D70" s="77" t="s">
        <v>1972</v>
      </c>
      <c r="E70" s="83"/>
      <c r="F70" s="83"/>
      <c r="G70" s="83"/>
      <c r="H70" s="83"/>
      <c r="I70" s="83"/>
      <c r="J70" s="83"/>
      <c r="K70" s="83"/>
      <c r="L70" s="35"/>
      <c r="M70" s="35"/>
      <c r="N70" s="181"/>
    </row>
    <row r="71" spans="1:14" ht="37.5" x14ac:dyDescent="0.3">
      <c r="A71" s="35">
        <v>70</v>
      </c>
      <c r="B71" s="180" t="s">
        <v>65</v>
      </c>
      <c r="C71" s="180" t="s">
        <v>781</v>
      </c>
      <c r="D71" s="180" t="s">
        <v>1973</v>
      </c>
      <c r="E71" s="83"/>
      <c r="F71" s="83"/>
      <c r="G71" s="83"/>
      <c r="H71" s="83"/>
      <c r="I71" s="83"/>
      <c r="J71" s="83"/>
      <c r="K71" s="83"/>
      <c r="L71" s="35" t="s">
        <v>781</v>
      </c>
      <c r="M71" s="35">
        <v>12345678</v>
      </c>
      <c r="N71" s="35"/>
    </row>
    <row r="72" spans="1:14" ht="37.5" x14ac:dyDescent="0.3">
      <c r="A72" s="35">
        <v>71</v>
      </c>
      <c r="B72" s="180" t="s">
        <v>65</v>
      </c>
      <c r="C72" s="180" t="s">
        <v>782</v>
      </c>
      <c r="D72" s="180" t="s">
        <v>1974</v>
      </c>
      <c r="E72" s="83"/>
      <c r="F72" s="83"/>
      <c r="G72" s="83"/>
      <c r="H72" s="83"/>
      <c r="I72" s="83"/>
      <c r="J72" s="83"/>
      <c r="K72" s="83"/>
      <c r="L72" s="180" t="s">
        <v>782</v>
      </c>
      <c r="M72" s="35">
        <v>12345678</v>
      </c>
      <c r="N72" s="35"/>
    </row>
    <row r="73" spans="1:14" ht="37.5" x14ac:dyDescent="0.3">
      <c r="A73" s="35">
        <v>72</v>
      </c>
      <c r="B73" s="180" t="s">
        <v>65</v>
      </c>
      <c r="C73" s="180" t="s">
        <v>783</v>
      </c>
      <c r="D73" s="180" t="s">
        <v>1975</v>
      </c>
      <c r="E73" s="83"/>
      <c r="F73" s="83"/>
      <c r="G73" s="83"/>
      <c r="H73" s="83"/>
      <c r="I73" s="83"/>
      <c r="J73" s="83"/>
      <c r="K73" s="83"/>
      <c r="L73" s="180" t="s">
        <v>783</v>
      </c>
      <c r="M73" s="35">
        <v>12345678</v>
      </c>
      <c r="N73" s="35"/>
    </row>
    <row r="74" spans="1:14" ht="37.5" x14ac:dyDescent="0.3">
      <c r="A74" s="35">
        <v>73</v>
      </c>
      <c r="B74" s="180" t="s">
        <v>65</v>
      </c>
      <c r="C74" s="180" t="s">
        <v>784</v>
      </c>
      <c r="D74" s="180" t="s">
        <v>1976</v>
      </c>
      <c r="E74" s="83"/>
      <c r="F74" s="83"/>
      <c r="G74" s="83"/>
      <c r="H74" s="83"/>
      <c r="I74" s="83"/>
      <c r="J74" s="83"/>
      <c r="K74" s="83"/>
      <c r="L74" s="180" t="s">
        <v>784</v>
      </c>
      <c r="M74" s="35" t="s">
        <v>9</v>
      </c>
      <c r="N74" s="35"/>
    </row>
    <row r="75" spans="1:14" ht="37.5" x14ac:dyDescent="0.3">
      <c r="A75" s="35">
        <v>74</v>
      </c>
      <c r="B75" s="180" t="s">
        <v>65</v>
      </c>
      <c r="C75" s="180" t="s">
        <v>785</v>
      </c>
      <c r="D75" s="180" t="s">
        <v>1977</v>
      </c>
      <c r="E75" s="83"/>
      <c r="F75" s="83"/>
      <c r="G75" s="83"/>
      <c r="H75" s="83"/>
      <c r="I75" s="83"/>
      <c r="J75" s="83"/>
      <c r="K75" s="83"/>
      <c r="L75" s="180" t="s">
        <v>785</v>
      </c>
      <c r="M75" s="35" t="s">
        <v>9</v>
      </c>
      <c r="N75" s="35"/>
    </row>
    <row r="76" spans="1:14" ht="37.5" x14ac:dyDescent="0.3">
      <c r="A76" s="35">
        <v>75</v>
      </c>
      <c r="B76" s="180" t="s">
        <v>65</v>
      </c>
      <c r="C76" s="180" t="s">
        <v>786</v>
      </c>
      <c r="D76" s="180" t="s">
        <v>1978</v>
      </c>
      <c r="E76" s="83"/>
      <c r="F76" s="83"/>
      <c r="G76" s="83"/>
      <c r="H76" s="83"/>
      <c r="I76" s="83"/>
      <c r="J76" s="83"/>
      <c r="K76" s="83"/>
      <c r="L76" s="180" t="s">
        <v>786</v>
      </c>
      <c r="M76" s="35" t="s">
        <v>9</v>
      </c>
      <c r="N76" s="35"/>
    </row>
    <row r="77" spans="1:14" ht="37.5" x14ac:dyDescent="0.3">
      <c r="A77" s="35">
        <v>76</v>
      </c>
      <c r="B77" s="180" t="s">
        <v>65</v>
      </c>
      <c r="C77" s="180" t="s">
        <v>787</v>
      </c>
      <c r="D77" s="180" t="s">
        <v>1979</v>
      </c>
      <c r="E77" s="83"/>
      <c r="F77" s="83"/>
      <c r="G77" s="83"/>
      <c r="H77" s="83"/>
      <c r="I77" s="83"/>
      <c r="J77" s="83"/>
      <c r="K77" s="83"/>
      <c r="L77" s="180" t="s">
        <v>787</v>
      </c>
      <c r="M77" s="35">
        <v>12345678</v>
      </c>
      <c r="N77" s="35"/>
    </row>
    <row r="78" spans="1:14" ht="37.5" x14ac:dyDescent="0.3">
      <c r="A78" s="35">
        <v>77</v>
      </c>
      <c r="B78" s="180" t="s">
        <v>65</v>
      </c>
      <c r="C78" s="180" t="s">
        <v>788</v>
      </c>
      <c r="D78" s="180" t="s">
        <v>1980</v>
      </c>
      <c r="E78" s="83"/>
      <c r="F78" s="83"/>
      <c r="G78" s="83"/>
      <c r="H78" s="83"/>
      <c r="I78" s="83"/>
      <c r="J78" s="83"/>
      <c r="K78" s="83"/>
      <c r="L78" s="180" t="s">
        <v>788</v>
      </c>
      <c r="M78" s="35">
        <v>12345678</v>
      </c>
      <c r="N78" s="35"/>
    </row>
    <row r="79" spans="1:14" ht="37.5" x14ac:dyDescent="0.3">
      <c r="A79" s="35">
        <v>78</v>
      </c>
      <c r="B79" s="180" t="s">
        <v>65</v>
      </c>
      <c r="C79" s="180" t="s">
        <v>789</v>
      </c>
      <c r="D79" s="180" t="s">
        <v>1981</v>
      </c>
      <c r="E79" s="83"/>
      <c r="F79" s="83"/>
      <c r="G79" s="83"/>
      <c r="H79" s="83"/>
      <c r="I79" s="83"/>
      <c r="J79" s="83"/>
      <c r="K79" s="83"/>
      <c r="L79" s="180" t="s">
        <v>789</v>
      </c>
      <c r="M79" s="35" t="s">
        <v>9</v>
      </c>
      <c r="N79" s="35"/>
    </row>
    <row r="80" spans="1:14" ht="37.5" x14ac:dyDescent="0.3">
      <c r="A80" s="35">
        <v>79</v>
      </c>
      <c r="B80" s="180" t="s">
        <v>65</v>
      </c>
      <c r="C80" s="180" t="s">
        <v>790</v>
      </c>
      <c r="D80" s="180" t="s">
        <v>1982</v>
      </c>
      <c r="E80" s="83"/>
      <c r="F80" s="83"/>
      <c r="G80" s="83"/>
      <c r="H80" s="83"/>
      <c r="I80" s="83"/>
      <c r="J80" s="83"/>
      <c r="K80" s="83"/>
      <c r="L80" s="180" t="s">
        <v>790</v>
      </c>
      <c r="M80" s="35">
        <v>12345678</v>
      </c>
      <c r="N80" s="35"/>
    </row>
    <row r="81" spans="1:14" ht="37.5" x14ac:dyDescent="0.3">
      <c r="A81" s="35">
        <v>80</v>
      </c>
      <c r="B81" s="180" t="s">
        <v>65</v>
      </c>
      <c r="C81" s="180" t="s">
        <v>791</v>
      </c>
      <c r="D81" s="180" t="s">
        <v>1983</v>
      </c>
      <c r="E81" s="83"/>
      <c r="F81" s="83"/>
      <c r="G81" s="83"/>
      <c r="H81" s="83"/>
      <c r="I81" s="83"/>
      <c r="J81" s="83"/>
      <c r="K81" s="83"/>
      <c r="L81" s="180" t="s">
        <v>791</v>
      </c>
      <c r="M81" s="35">
        <v>12345678</v>
      </c>
      <c r="N81" s="35"/>
    </row>
    <row r="82" spans="1:14" ht="37.5" x14ac:dyDescent="0.3">
      <c r="A82" s="35">
        <v>81</v>
      </c>
      <c r="B82" s="180" t="s">
        <v>65</v>
      </c>
      <c r="C82" s="180" t="s">
        <v>792</v>
      </c>
      <c r="D82" s="180" t="s">
        <v>1984</v>
      </c>
      <c r="E82" s="83"/>
      <c r="F82" s="83"/>
      <c r="G82" s="83"/>
      <c r="H82" s="83"/>
      <c r="I82" s="83"/>
      <c r="J82" s="83"/>
      <c r="K82" s="83"/>
      <c r="L82" s="180" t="s">
        <v>792</v>
      </c>
      <c r="M82" s="35" t="s">
        <v>9</v>
      </c>
      <c r="N82" s="35"/>
    </row>
    <row r="83" spans="1:14" ht="37.5" x14ac:dyDescent="0.3">
      <c r="A83" s="35">
        <v>82</v>
      </c>
      <c r="B83" s="180" t="s">
        <v>65</v>
      </c>
      <c r="C83" s="180" t="s">
        <v>793</v>
      </c>
      <c r="D83" s="180" t="s">
        <v>1985</v>
      </c>
      <c r="E83" s="83"/>
      <c r="F83" s="83"/>
      <c r="G83" s="83"/>
      <c r="H83" s="83"/>
      <c r="I83" s="83"/>
      <c r="J83" s="83"/>
      <c r="K83" s="83"/>
      <c r="L83" s="180" t="s">
        <v>793</v>
      </c>
      <c r="M83" s="35" t="s">
        <v>9</v>
      </c>
      <c r="N83" s="35"/>
    </row>
    <row r="84" spans="1:14" ht="37.5" x14ac:dyDescent="0.3">
      <c r="A84" s="35">
        <v>83</v>
      </c>
      <c r="B84" s="180" t="s">
        <v>65</v>
      </c>
      <c r="C84" s="180" t="s">
        <v>794</v>
      </c>
      <c r="D84" s="180" t="s">
        <v>1986</v>
      </c>
      <c r="E84" s="83"/>
      <c r="F84" s="83"/>
      <c r="G84" s="83"/>
      <c r="H84" s="83"/>
      <c r="I84" s="83"/>
      <c r="J84" s="83"/>
      <c r="K84" s="83"/>
      <c r="L84" s="180" t="s">
        <v>794</v>
      </c>
      <c r="M84" s="35" t="s">
        <v>9</v>
      </c>
      <c r="N84" s="35"/>
    </row>
    <row r="85" spans="1:14" ht="37.5" x14ac:dyDescent="0.3">
      <c r="A85" s="35">
        <v>84</v>
      </c>
      <c r="B85" s="180" t="s">
        <v>65</v>
      </c>
      <c r="C85" s="180" t="s">
        <v>795</v>
      </c>
      <c r="D85" s="180" t="s">
        <v>1987</v>
      </c>
      <c r="E85" s="83"/>
      <c r="F85" s="83"/>
      <c r="G85" s="83"/>
      <c r="H85" s="83"/>
      <c r="I85" s="83"/>
      <c r="J85" s="83"/>
      <c r="K85" s="83"/>
      <c r="L85" s="180" t="s">
        <v>795</v>
      </c>
      <c r="M85" s="35">
        <v>12345678</v>
      </c>
      <c r="N85" s="35"/>
    </row>
    <row r="86" spans="1:14" ht="37.5" x14ac:dyDescent="0.3">
      <c r="A86" s="35">
        <v>85</v>
      </c>
      <c r="B86" s="180" t="s">
        <v>65</v>
      </c>
      <c r="C86" s="180" t="s">
        <v>796</v>
      </c>
      <c r="D86" s="180" t="s">
        <v>1988</v>
      </c>
      <c r="E86" s="83"/>
      <c r="F86" s="83"/>
      <c r="G86" s="83"/>
      <c r="H86" s="83"/>
      <c r="I86" s="83"/>
      <c r="J86" s="83"/>
      <c r="K86" s="83"/>
      <c r="L86" s="180" t="s">
        <v>796</v>
      </c>
      <c r="M86" s="35" t="s">
        <v>9</v>
      </c>
      <c r="N86" s="35"/>
    </row>
    <row r="87" spans="1:14" ht="37.5" x14ac:dyDescent="0.3">
      <c r="A87" s="35">
        <v>86</v>
      </c>
      <c r="B87" s="180" t="s">
        <v>65</v>
      </c>
      <c r="C87" s="180" t="s">
        <v>797</v>
      </c>
      <c r="D87" s="180" t="s">
        <v>1989</v>
      </c>
      <c r="E87" s="83"/>
      <c r="F87" s="83"/>
      <c r="G87" s="83"/>
      <c r="H87" s="83"/>
      <c r="I87" s="83"/>
      <c r="J87" s="83"/>
      <c r="K87" s="83"/>
      <c r="L87" s="180" t="s">
        <v>797</v>
      </c>
      <c r="M87" s="35">
        <v>12345678</v>
      </c>
      <c r="N87" s="35"/>
    </row>
    <row r="88" spans="1:14" ht="37.5" x14ac:dyDescent="0.3">
      <c r="A88" s="35">
        <v>87</v>
      </c>
      <c r="B88" s="180" t="s">
        <v>65</v>
      </c>
      <c r="C88" s="180" t="s">
        <v>798</v>
      </c>
      <c r="D88" s="180" t="s">
        <v>1990</v>
      </c>
      <c r="E88" s="83"/>
      <c r="F88" s="83"/>
      <c r="G88" s="83"/>
      <c r="H88" s="83"/>
      <c r="I88" s="83"/>
      <c r="J88" s="83"/>
      <c r="K88" s="83"/>
      <c r="L88" s="180" t="s">
        <v>798</v>
      </c>
      <c r="M88" s="35">
        <v>12345678</v>
      </c>
      <c r="N88" s="35"/>
    </row>
    <row r="89" spans="1:14" ht="37.5" x14ac:dyDescent="0.3">
      <c r="A89" s="35">
        <v>88</v>
      </c>
      <c r="B89" s="180" t="s">
        <v>65</v>
      </c>
      <c r="C89" s="180" t="s">
        <v>799</v>
      </c>
      <c r="D89" s="180" t="s">
        <v>1991</v>
      </c>
      <c r="E89" s="83"/>
      <c r="F89" s="83"/>
      <c r="G89" s="83"/>
      <c r="H89" s="83"/>
      <c r="I89" s="83"/>
      <c r="J89" s="83"/>
      <c r="K89" s="83"/>
      <c r="L89" s="180" t="s">
        <v>799</v>
      </c>
      <c r="M89" s="35">
        <v>12345678</v>
      </c>
      <c r="N89" s="35"/>
    </row>
    <row r="90" spans="1:14" ht="37.5" x14ac:dyDescent="0.3">
      <c r="A90" s="35">
        <v>89</v>
      </c>
      <c r="B90" s="180" t="s">
        <v>65</v>
      </c>
      <c r="C90" s="180" t="s">
        <v>800</v>
      </c>
      <c r="D90" s="180" t="s">
        <v>1992</v>
      </c>
      <c r="E90" s="83"/>
      <c r="F90" s="83"/>
      <c r="G90" s="83"/>
      <c r="H90" s="83"/>
      <c r="I90" s="83"/>
      <c r="J90" s="83"/>
      <c r="K90" s="83"/>
      <c r="L90" s="180" t="s">
        <v>800</v>
      </c>
      <c r="M90" s="35" t="s">
        <v>9</v>
      </c>
      <c r="N90" s="35"/>
    </row>
    <row r="91" spans="1:14" ht="37.5" x14ac:dyDescent="0.3">
      <c r="A91" s="35">
        <v>90</v>
      </c>
      <c r="B91" s="180" t="s">
        <v>65</v>
      </c>
      <c r="C91" s="180" t="s">
        <v>801</v>
      </c>
      <c r="D91" s="180" t="s">
        <v>1993</v>
      </c>
      <c r="E91" s="83"/>
      <c r="F91" s="83"/>
      <c r="G91" s="83"/>
      <c r="H91" s="83"/>
      <c r="I91" s="83"/>
      <c r="J91" s="83"/>
      <c r="K91" s="83"/>
      <c r="L91" s="180" t="s">
        <v>801</v>
      </c>
      <c r="M91" s="35">
        <v>12345678</v>
      </c>
      <c r="N91" s="35"/>
    </row>
    <row r="92" spans="1:14" ht="37.5" x14ac:dyDescent="0.3">
      <c r="A92" s="35">
        <v>91</v>
      </c>
      <c r="B92" s="180" t="s">
        <v>65</v>
      </c>
      <c r="C92" s="180" t="s">
        <v>802</v>
      </c>
      <c r="D92" s="180" t="s">
        <v>1994</v>
      </c>
      <c r="E92" s="83"/>
      <c r="F92" s="83"/>
      <c r="G92" s="83"/>
      <c r="H92" s="83"/>
      <c r="I92" s="83"/>
      <c r="J92" s="83"/>
      <c r="K92" s="83"/>
      <c r="L92" s="180" t="s">
        <v>802</v>
      </c>
      <c r="M92" s="35">
        <v>12345678</v>
      </c>
      <c r="N92" s="35"/>
    </row>
    <row r="93" spans="1:14" ht="37.5" x14ac:dyDescent="0.3">
      <c r="A93" s="35">
        <v>92</v>
      </c>
      <c r="B93" s="180" t="s">
        <v>65</v>
      </c>
      <c r="C93" s="180" t="s">
        <v>803</v>
      </c>
      <c r="D93" s="180" t="s">
        <v>1995</v>
      </c>
      <c r="E93" s="83"/>
      <c r="F93" s="83"/>
      <c r="G93" s="83"/>
      <c r="H93" s="83"/>
      <c r="I93" s="83"/>
      <c r="J93" s="83"/>
      <c r="K93" s="83"/>
      <c r="L93" s="180" t="s">
        <v>803</v>
      </c>
      <c r="M93" s="35" t="s">
        <v>9</v>
      </c>
      <c r="N93" s="35"/>
    </row>
    <row r="94" spans="1:14" ht="37.5" x14ac:dyDescent="0.3">
      <c r="A94" s="35">
        <v>93</v>
      </c>
      <c r="B94" s="180" t="s">
        <v>65</v>
      </c>
      <c r="C94" s="180" t="s">
        <v>804</v>
      </c>
      <c r="D94" s="180" t="s">
        <v>1996</v>
      </c>
      <c r="E94" s="83"/>
      <c r="F94" s="83"/>
      <c r="G94" s="83"/>
      <c r="H94" s="83"/>
      <c r="I94" s="83"/>
      <c r="J94" s="83"/>
      <c r="K94" s="83"/>
      <c r="L94" s="180" t="s">
        <v>804</v>
      </c>
      <c r="M94" s="35" t="s">
        <v>9</v>
      </c>
      <c r="N94" s="35"/>
    </row>
    <row r="95" spans="1:14" ht="37.5" x14ac:dyDescent="0.3">
      <c r="A95" s="35">
        <v>94</v>
      </c>
      <c r="B95" s="180" t="s">
        <v>65</v>
      </c>
      <c r="C95" s="180" t="s">
        <v>805</v>
      </c>
      <c r="D95" s="180" t="s">
        <v>1997</v>
      </c>
      <c r="E95" s="83"/>
      <c r="F95" s="83"/>
      <c r="G95" s="83"/>
      <c r="H95" s="83"/>
      <c r="I95" s="83"/>
      <c r="J95" s="83"/>
      <c r="K95" s="83"/>
      <c r="L95" s="180" t="s">
        <v>805</v>
      </c>
      <c r="M95" s="35">
        <v>12345678</v>
      </c>
      <c r="N95" s="35"/>
    </row>
    <row r="96" spans="1:14" ht="37.5" x14ac:dyDescent="0.3">
      <c r="A96" s="35">
        <v>95</v>
      </c>
      <c r="B96" s="180" t="s">
        <v>65</v>
      </c>
      <c r="C96" s="180" t="s">
        <v>806</v>
      </c>
      <c r="D96" s="180" t="s">
        <v>1998</v>
      </c>
      <c r="E96" s="83"/>
      <c r="F96" s="83"/>
      <c r="G96" s="83"/>
      <c r="H96" s="83"/>
      <c r="I96" s="83"/>
      <c r="J96" s="83"/>
      <c r="K96" s="83"/>
      <c r="L96" s="180" t="s">
        <v>806</v>
      </c>
      <c r="M96" s="35" t="s">
        <v>9</v>
      </c>
      <c r="N96" s="35"/>
    </row>
    <row r="97" spans="1:14" ht="37.5" x14ac:dyDescent="0.3">
      <c r="A97" s="35">
        <v>96</v>
      </c>
      <c r="B97" s="180" t="s">
        <v>65</v>
      </c>
      <c r="C97" s="180" t="s">
        <v>807</v>
      </c>
      <c r="D97" s="180" t="s">
        <v>1999</v>
      </c>
      <c r="E97" s="83"/>
      <c r="F97" s="83"/>
      <c r="G97" s="83"/>
      <c r="H97" s="83"/>
      <c r="I97" s="83"/>
      <c r="J97" s="83"/>
      <c r="K97" s="83"/>
      <c r="L97" s="180" t="s">
        <v>807</v>
      </c>
      <c r="M97" s="35" t="s">
        <v>9</v>
      </c>
      <c r="N97" s="35"/>
    </row>
    <row r="98" spans="1:14" ht="37.5" x14ac:dyDescent="0.3">
      <c r="A98" s="35">
        <v>97</v>
      </c>
      <c r="B98" s="180" t="s">
        <v>65</v>
      </c>
      <c r="C98" s="180" t="s">
        <v>808</v>
      </c>
      <c r="D98" s="180" t="s">
        <v>2000</v>
      </c>
      <c r="E98" s="83"/>
      <c r="F98" s="83"/>
      <c r="G98" s="83"/>
      <c r="H98" s="83"/>
      <c r="I98" s="83"/>
      <c r="J98" s="83"/>
      <c r="K98" s="83"/>
      <c r="L98" s="180" t="s">
        <v>808</v>
      </c>
      <c r="M98" s="35">
        <v>12345678</v>
      </c>
      <c r="N98" s="35"/>
    </row>
    <row r="99" spans="1:14" ht="37.5" x14ac:dyDescent="0.3">
      <c r="A99" s="35">
        <v>98</v>
      </c>
      <c r="B99" s="180" t="s">
        <v>65</v>
      </c>
      <c r="C99" s="180" t="s">
        <v>809</v>
      </c>
      <c r="D99" s="180" t="s">
        <v>2001</v>
      </c>
      <c r="E99" s="83"/>
      <c r="F99" s="83"/>
      <c r="G99" s="83"/>
      <c r="H99" s="83"/>
      <c r="I99" s="83"/>
      <c r="J99" s="83"/>
      <c r="K99" s="83"/>
      <c r="L99" s="180" t="s">
        <v>809</v>
      </c>
      <c r="M99" s="35">
        <v>12345678</v>
      </c>
      <c r="N99" s="35"/>
    </row>
    <row r="100" spans="1:14" ht="37.5" x14ac:dyDescent="0.3">
      <c r="A100" s="35">
        <v>99</v>
      </c>
      <c r="B100" s="180" t="s">
        <v>65</v>
      </c>
      <c r="C100" s="180" t="s">
        <v>810</v>
      </c>
      <c r="D100" s="180" t="s">
        <v>2002</v>
      </c>
      <c r="E100" s="83"/>
      <c r="F100" s="83"/>
      <c r="G100" s="83"/>
      <c r="H100" s="83"/>
      <c r="I100" s="83"/>
      <c r="J100" s="83"/>
      <c r="K100" s="83"/>
      <c r="L100" s="180" t="s">
        <v>810</v>
      </c>
      <c r="M100" s="35" t="s">
        <v>9</v>
      </c>
      <c r="N100" s="35"/>
    </row>
    <row r="101" spans="1:14" ht="37.5" x14ac:dyDescent="0.3">
      <c r="A101" s="35">
        <v>100</v>
      </c>
      <c r="B101" s="180" t="s">
        <v>65</v>
      </c>
      <c r="C101" s="180" t="s">
        <v>811</v>
      </c>
      <c r="D101" s="180" t="s">
        <v>2003</v>
      </c>
      <c r="E101" s="83"/>
      <c r="F101" s="83"/>
      <c r="G101" s="83"/>
      <c r="H101" s="83"/>
      <c r="I101" s="83"/>
      <c r="J101" s="83"/>
      <c r="K101" s="83"/>
      <c r="L101" s="180" t="s">
        <v>811</v>
      </c>
      <c r="M101" s="35">
        <v>12345678</v>
      </c>
      <c r="N101" s="35"/>
    </row>
    <row r="102" spans="1:14" ht="37.5" x14ac:dyDescent="0.3">
      <c r="A102" s="35">
        <v>101</v>
      </c>
      <c r="B102" s="180" t="s">
        <v>65</v>
      </c>
      <c r="C102" s="180" t="s">
        <v>812</v>
      </c>
      <c r="D102" s="180" t="s">
        <v>2004</v>
      </c>
      <c r="E102" s="83"/>
      <c r="F102" s="83"/>
      <c r="G102" s="83"/>
      <c r="H102" s="83"/>
      <c r="I102" s="83"/>
      <c r="J102" s="83"/>
      <c r="K102" s="83"/>
      <c r="L102" s="180" t="s">
        <v>812</v>
      </c>
      <c r="M102" s="35" t="s">
        <v>9</v>
      </c>
      <c r="N102" s="35"/>
    </row>
    <row r="103" spans="1:14" ht="37.5" x14ac:dyDescent="0.3">
      <c r="A103" s="35">
        <v>102</v>
      </c>
      <c r="B103" s="180" t="s">
        <v>65</v>
      </c>
      <c r="C103" s="180" t="s">
        <v>813</v>
      </c>
      <c r="D103" s="180" t="s">
        <v>2005</v>
      </c>
      <c r="E103" s="83"/>
      <c r="F103" s="83"/>
      <c r="G103" s="83"/>
      <c r="H103" s="83"/>
      <c r="I103" s="83"/>
      <c r="J103" s="83"/>
      <c r="K103" s="83"/>
      <c r="L103" s="180" t="s">
        <v>813</v>
      </c>
      <c r="M103" s="35">
        <v>12345678</v>
      </c>
      <c r="N103" s="35"/>
    </row>
    <row r="104" spans="1:14" ht="37.5" x14ac:dyDescent="0.3">
      <c r="A104" s="35">
        <v>103</v>
      </c>
      <c r="B104" s="180" t="s">
        <v>65</v>
      </c>
      <c r="C104" s="180" t="s">
        <v>814</v>
      </c>
      <c r="D104" s="180" t="s">
        <v>2006</v>
      </c>
      <c r="E104" s="83"/>
      <c r="F104" s="83"/>
      <c r="G104" s="83"/>
      <c r="H104" s="83"/>
      <c r="I104" s="83"/>
      <c r="J104" s="83"/>
      <c r="K104" s="83"/>
      <c r="L104" s="180" t="s">
        <v>814</v>
      </c>
      <c r="M104" s="35">
        <v>12345678</v>
      </c>
      <c r="N104" s="35"/>
    </row>
    <row r="105" spans="1:14" ht="37.5" x14ac:dyDescent="0.3">
      <c r="A105" s="35">
        <v>104</v>
      </c>
      <c r="B105" s="180" t="s">
        <v>65</v>
      </c>
      <c r="C105" s="180" t="s">
        <v>815</v>
      </c>
      <c r="D105" s="180" t="s">
        <v>2007</v>
      </c>
      <c r="E105" s="83"/>
      <c r="F105" s="83"/>
      <c r="G105" s="83"/>
      <c r="H105" s="83"/>
      <c r="I105" s="83"/>
      <c r="J105" s="83"/>
      <c r="K105" s="83"/>
      <c r="L105" s="180" t="s">
        <v>815</v>
      </c>
      <c r="M105" s="35">
        <v>12345678</v>
      </c>
      <c r="N105" s="35"/>
    </row>
    <row r="106" spans="1:14" ht="37.5" x14ac:dyDescent="0.3">
      <c r="A106" s="35">
        <v>105</v>
      </c>
      <c r="B106" s="180" t="s">
        <v>65</v>
      </c>
      <c r="C106" s="180" t="s">
        <v>816</v>
      </c>
      <c r="D106" s="180" t="s">
        <v>2008</v>
      </c>
      <c r="E106" s="83"/>
      <c r="F106" s="83"/>
      <c r="G106" s="83"/>
      <c r="H106" s="83"/>
      <c r="I106" s="83"/>
      <c r="J106" s="83"/>
      <c r="K106" s="83"/>
      <c r="L106" s="180" t="s">
        <v>816</v>
      </c>
      <c r="M106" s="35">
        <v>12345678</v>
      </c>
      <c r="N106" s="35"/>
    </row>
    <row r="107" spans="1:14" ht="38.25" customHeight="1" x14ac:dyDescent="0.3">
      <c r="A107" s="35">
        <v>106</v>
      </c>
      <c r="B107" s="77" t="s">
        <v>65</v>
      </c>
      <c r="C107" s="35" t="s">
        <v>175</v>
      </c>
      <c r="D107" s="77" t="s">
        <v>2224</v>
      </c>
      <c r="E107" s="182"/>
      <c r="F107" s="182"/>
      <c r="G107" s="182"/>
      <c r="H107" s="183"/>
      <c r="I107" s="83"/>
      <c r="J107" s="83"/>
      <c r="K107" s="83"/>
      <c r="L107" s="35" t="s">
        <v>175</v>
      </c>
      <c r="M107" s="35" t="s">
        <v>9</v>
      </c>
      <c r="N107" s="174" t="s">
        <v>19</v>
      </c>
    </row>
    <row r="108" spans="1:14" s="185" customFormat="1" ht="37.5" x14ac:dyDescent="0.3">
      <c r="A108" s="35">
        <v>107</v>
      </c>
      <c r="B108" s="77" t="s">
        <v>65</v>
      </c>
      <c r="C108" s="184" t="s">
        <v>150</v>
      </c>
      <c r="D108" s="77" t="s">
        <v>2009</v>
      </c>
      <c r="E108" s="166"/>
      <c r="F108" s="166"/>
      <c r="G108" s="166"/>
      <c r="H108" s="83"/>
      <c r="I108" s="83"/>
      <c r="J108" s="83"/>
      <c r="K108" s="83"/>
      <c r="L108" s="35"/>
      <c r="M108" s="35" t="s">
        <v>9</v>
      </c>
      <c r="N108" s="35" t="s">
        <v>17</v>
      </c>
    </row>
    <row r="109" spans="1:14" s="185" customFormat="1" ht="37.5" x14ac:dyDescent="0.3">
      <c r="A109" s="35">
        <v>108</v>
      </c>
      <c r="B109" s="77" t="s">
        <v>65</v>
      </c>
      <c r="C109" s="184" t="s">
        <v>151</v>
      </c>
      <c r="D109" s="77" t="s">
        <v>2010</v>
      </c>
      <c r="E109" s="83"/>
      <c r="F109" s="83"/>
      <c r="G109" s="83"/>
      <c r="H109" s="83"/>
      <c r="I109" s="83"/>
      <c r="J109" s="83"/>
      <c r="K109" s="83"/>
      <c r="L109" s="184" t="s">
        <v>151</v>
      </c>
      <c r="M109" s="35" t="s">
        <v>9</v>
      </c>
      <c r="N109" s="35" t="s">
        <v>17</v>
      </c>
    </row>
    <row r="110" spans="1:14" s="185" customFormat="1" ht="37.5" x14ac:dyDescent="0.3">
      <c r="A110" s="35">
        <v>109</v>
      </c>
      <c r="B110" s="77" t="s">
        <v>65</v>
      </c>
      <c r="C110" s="184" t="s">
        <v>152</v>
      </c>
      <c r="D110" s="77" t="s">
        <v>2011</v>
      </c>
      <c r="E110" s="83"/>
      <c r="F110" s="83"/>
      <c r="G110" s="83"/>
      <c r="H110" s="83"/>
      <c r="I110" s="83"/>
      <c r="J110" s="83"/>
      <c r="K110" s="83"/>
      <c r="L110" s="184" t="s">
        <v>152</v>
      </c>
      <c r="M110" s="35" t="s">
        <v>9</v>
      </c>
      <c r="N110" s="35" t="s">
        <v>17</v>
      </c>
    </row>
    <row r="111" spans="1:14" s="185" customFormat="1" ht="37.5" x14ac:dyDescent="0.3">
      <c r="A111" s="35">
        <v>110</v>
      </c>
      <c r="B111" s="77" t="s">
        <v>65</v>
      </c>
      <c r="C111" s="35" t="s">
        <v>153</v>
      </c>
      <c r="D111" s="77" t="s">
        <v>2012</v>
      </c>
      <c r="E111" s="83"/>
      <c r="F111" s="83"/>
      <c r="G111" s="83"/>
      <c r="H111" s="83"/>
      <c r="I111" s="83"/>
      <c r="J111" s="83"/>
      <c r="K111" s="83"/>
      <c r="L111" s="35" t="s">
        <v>153</v>
      </c>
      <c r="M111" s="35" t="s">
        <v>9</v>
      </c>
      <c r="N111" s="35" t="s">
        <v>17</v>
      </c>
    </row>
    <row r="112" spans="1:14" s="185" customFormat="1" ht="37.5" x14ac:dyDescent="0.3">
      <c r="A112" s="35">
        <v>111</v>
      </c>
      <c r="B112" s="77" t="s">
        <v>65</v>
      </c>
      <c r="C112" s="35" t="s">
        <v>154</v>
      </c>
      <c r="D112" s="77" t="s">
        <v>2013</v>
      </c>
      <c r="E112" s="83"/>
      <c r="F112" s="83"/>
      <c r="G112" s="83"/>
      <c r="H112" s="83"/>
      <c r="I112" s="83"/>
      <c r="J112" s="83"/>
      <c r="K112" s="83"/>
      <c r="L112" s="35" t="s">
        <v>154</v>
      </c>
      <c r="M112" s="35" t="s">
        <v>9</v>
      </c>
      <c r="N112" s="35" t="s">
        <v>17</v>
      </c>
    </row>
    <row r="113" spans="1:14" s="185" customFormat="1" ht="37.5" x14ac:dyDescent="0.3">
      <c r="A113" s="35">
        <v>112</v>
      </c>
      <c r="B113" s="77" t="s">
        <v>65</v>
      </c>
      <c r="C113" s="35" t="s">
        <v>155</v>
      </c>
      <c r="D113" s="77" t="s">
        <v>2014</v>
      </c>
      <c r="E113" s="83"/>
      <c r="F113" s="83"/>
      <c r="G113" s="83"/>
      <c r="H113" s="83"/>
      <c r="I113" s="83"/>
      <c r="J113" s="83"/>
      <c r="K113" s="83"/>
      <c r="L113" s="35" t="s">
        <v>155</v>
      </c>
      <c r="M113" s="35" t="s">
        <v>9</v>
      </c>
      <c r="N113" s="35" t="s">
        <v>17</v>
      </c>
    </row>
    <row r="114" spans="1:14" s="185" customFormat="1" ht="37.5" x14ac:dyDescent="0.3">
      <c r="A114" s="35">
        <v>113</v>
      </c>
      <c r="B114" s="77" t="s">
        <v>65</v>
      </c>
      <c r="C114" s="35" t="s">
        <v>156</v>
      </c>
      <c r="D114" s="77" t="s">
        <v>2015</v>
      </c>
      <c r="E114" s="83"/>
      <c r="F114" s="83"/>
      <c r="G114" s="83"/>
      <c r="H114" s="83"/>
      <c r="I114" s="83"/>
      <c r="J114" s="83"/>
      <c r="K114" s="83"/>
      <c r="L114" s="35" t="s">
        <v>156</v>
      </c>
      <c r="M114" s="35" t="s">
        <v>9</v>
      </c>
      <c r="N114" s="35" t="s">
        <v>17</v>
      </c>
    </row>
    <row r="115" spans="1:14" ht="37.5" x14ac:dyDescent="0.3">
      <c r="A115" s="35">
        <v>114</v>
      </c>
      <c r="B115" s="77" t="s">
        <v>65</v>
      </c>
      <c r="C115" s="35" t="s">
        <v>157</v>
      </c>
      <c r="D115" s="77" t="s">
        <v>2016</v>
      </c>
      <c r="E115" s="83"/>
      <c r="F115" s="83"/>
      <c r="G115" s="83"/>
      <c r="H115" s="83"/>
      <c r="I115" s="83"/>
      <c r="J115" s="83"/>
      <c r="K115" s="83"/>
      <c r="L115" s="35" t="s">
        <v>157</v>
      </c>
      <c r="M115" s="35" t="s">
        <v>9</v>
      </c>
      <c r="N115" s="35" t="s">
        <v>17</v>
      </c>
    </row>
    <row r="116" spans="1:14" ht="37.5" x14ac:dyDescent="0.3">
      <c r="A116" s="35">
        <v>115</v>
      </c>
      <c r="B116" s="77" t="s">
        <v>65</v>
      </c>
      <c r="C116" s="35" t="s">
        <v>158</v>
      </c>
      <c r="D116" s="77" t="s">
        <v>2017</v>
      </c>
      <c r="E116" s="83"/>
      <c r="F116" s="83"/>
      <c r="G116" s="83"/>
      <c r="H116" s="83"/>
      <c r="I116" s="83"/>
      <c r="J116" s="83"/>
      <c r="K116" s="83"/>
      <c r="L116" s="35" t="s">
        <v>158</v>
      </c>
      <c r="M116" s="35" t="s">
        <v>9</v>
      </c>
      <c r="N116" s="35" t="s">
        <v>17</v>
      </c>
    </row>
    <row r="117" spans="1:14" ht="37.5" x14ac:dyDescent="0.3">
      <c r="A117" s="35">
        <v>116</v>
      </c>
      <c r="B117" s="77" t="s">
        <v>65</v>
      </c>
      <c r="C117" s="35" t="s">
        <v>159</v>
      </c>
      <c r="D117" s="77" t="s">
        <v>2018</v>
      </c>
      <c r="E117" s="83"/>
      <c r="F117" s="83"/>
      <c r="G117" s="83"/>
      <c r="H117" s="83"/>
      <c r="I117" s="83"/>
      <c r="J117" s="83"/>
      <c r="K117" s="83"/>
      <c r="L117" s="35" t="s">
        <v>159</v>
      </c>
      <c r="M117" s="35" t="s">
        <v>9</v>
      </c>
      <c r="N117" s="35" t="s">
        <v>17</v>
      </c>
    </row>
    <row r="118" spans="1:14" ht="37.5" x14ac:dyDescent="0.3">
      <c r="A118" s="35">
        <v>117</v>
      </c>
      <c r="B118" s="77" t="s">
        <v>65</v>
      </c>
      <c r="C118" s="35" t="s">
        <v>160</v>
      </c>
      <c r="D118" s="77" t="s">
        <v>2019</v>
      </c>
      <c r="E118" s="83"/>
      <c r="F118" s="83"/>
      <c r="G118" s="83"/>
      <c r="H118" s="83"/>
      <c r="I118" s="83"/>
      <c r="J118" s="83"/>
      <c r="K118" s="83"/>
      <c r="L118" s="35" t="s">
        <v>160</v>
      </c>
      <c r="M118" s="35" t="s">
        <v>9</v>
      </c>
      <c r="N118" s="35" t="s">
        <v>17</v>
      </c>
    </row>
    <row r="119" spans="1:14" ht="37.5" x14ac:dyDescent="0.3">
      <c r="A119" s="35">
        <v>118</v>
      </c>
      <c r="B119" s="77" t="s">
        <v>65</v>
      </c>
      <c r="C119" s="35" t="s">
        <v>161</v>
      </c>
      <c r="D119" s="77" t="s">
        <v>2020</v>
      </c>
      <c r="E119" s="83"/>
      <c r="F119" s="83"/>
      <c r="G119" s="83"/>
      <c r="H119" s="83"/>
      <c r="I119" s="83"/>
      <c r="J119" s="83"/>
      <c r="K119" s="83"/>
      <c r="L119" s="35" t="s">
        <v>2239</v>
      </c>
      <c r="M119" s="35" t="s">
        <v>9</v>
      </c>
      <c r="N119" s="35" t="s">
        <v>17</v>
      </c>
    </row>
    <row r="120" spans="1:14" ht="37.5" x14ac:dyDescent="0.3">
      <c r="A120" s="35">
        <v>119</v>
      </c>
      <c r="B120" s="77" t="s">
        <v>65</v>
      </c>
      <c r="C120" s="35" t="s">
        <v>162</v>
      </c>
      <c r="D120" s="77" t="s">
        <v>2021</v>
      </c>
      <c r="E120" s="83"/>
      <c r="F120" s="83"/>
      <c r="G120" s="83"/>
      <c r="H120" s="83"/>
      <c r="I120" s="83"/>
      <c r="J120" s="83"/>
      <c r="K120" s="83"/>
      <c r="L120" s="35" t="s">
        <v>162</v>
      </c>
      <c r="M120" s="35" t="s">
        <v>9</v>
      </c>
      <c r="N120" s="35" t="s">
        <v>17</v>
      </c>
    </row>
    <row r="121" spans="1:14" ht="37.5" x14ac:dyDescent="0.3">
      <c r="A121" s="35">
        <v>120</v>
      </c>
      <c r="B121" s="77" t="s">
        <v>65</v>
      </c>
      <c r="C121" s="35" t="s">
        <v>163</v>
      </c>
      <c r="D121" s="77" t="s">
        <v>2022</v>
      </c>
      <c r="E121" s="83"/>
      <c r="F121" s="83"/>
      <c r="G121" s="83"/>
      <c r="H121" s="83"/>
      <c r="I121" s="83"/>
      <c r="J121" s="83"/>
      <c r="K121" s="83"/>
      <c r="L121" s="35" t="s">
        <v>163</v>
      </c>
      <c r="M121" s="35" t="s">
        <v>9</v>
      </c>
      <c r="N121" s="35" t="s">
        <v>17</v>
      </c>
    </row>
    <row r="122" spans="1:14" ht="37.5" x14ac:dyDescent="0.3">
      <c r="A122" s="35">
        <v>121</v>
      </c>
      <c r="B122" s="77" t="s">
        <v>65</v>
      </c>
      <c r="C122" s="35" t="s">
        <v>164</v>
      </c>
      <c r="D122" s="77" t="s">
        <v>2023</v>
      </c>
      <c r="E122" s="83"/>
      <c r="F122" s="83"/>
      <c r="G122" s="83"/>
      <c r="H122" s="83"/>
      <c r="I122" s="83"/>
      <c r="J122" s="83"/>
      <c r="K122" s="83"/>
      <c r="L122" s="35" t="s">
        <v>164</v>
      </c>
      <c r="M122" s="35" t="s">
        <v>9</v>
      </c>
      <c r="N122" s="35" t="s">
        <v>17</v>
      </c>
    </row>
    <row r="123" spans="1:14" ht="37.5" x14ac:dyDescent="0.3">
      <c r="A123" s="35">
        <v>122</v>
      </c>
      <c r="B123" s="77" t="s">
        <v>65</v>
      </c>
      <c r="C123" s="35" t="s">
        <v>165</v>
      </c>
      <c r="D123" s="77" t="s">
        <v>2024</v>
      </c>
      <c r="E123" s="83"/>
      <c r="F123" s="83"/>
      <c r="G123" s="83"/>
      <c r="H123" s="83"/>
      <c r="I123" s="83"/>
      <c r="J123" s="83"/>
      <c r="K123" s="83"/>
      <c r="L123" s="35" t="s">
        <v>165</v>
      </c>
      <c r="M123" s="35" t="s">
        <v>9</v>
      </c>
      <c r="N123" s="35" t="s">
        <v>17</v>
      </c>
    </row>
    <row r="124" spans="1:14" ht="37.5" x14ac:dyDescent="0.3">
      <c r="A124" s="35">
        <v>123</v>
      </c>
      <c r="B124" s="77" t="s">
        <v>65</v>
      </c>
      <c r="C124" s="35" t="s">
        <v>166</v>
      </c>
      <c r="D124" s="77" t="s">
        <v>2025</v>
      </c>
      <c r="E124" s="83"/>
      <c r="F124" s="83"/>
      <c r="G124" s="83"/>
      <c r="H124" s="83"/>
      <c r="I124" s="83"/>
      <c r="J124" s="83"/>
      <c r="K124" s="83"/>
      <c r="L124" s="35" t="s">
        <v>166</v>
      </c>
      <c r="M124" s="35" t="s">
        <v>9</v>
      </c>
      <c r="N124" s="35" t="s">
        <v>17</v>
      </c>
    </row>
    <row r="125" spans="1:14" ht="37.5" x14ac:dyDescent="0.3">
      <c r="A125" s="35">
        <v>124</v>
      </c>
      <c r="B125" s="77" t="s">
        <v>65</v>
      </c>
      <c r="C125" s="35" t="s">
        <v>167</v>
      </c>
      <c r="D125" s="77" t="s">
        <v>2026</v>
      </c>
      <c r="E125" s="83"/>
      <c r="F125" s="83"/>
      <c r="G125" s="83"/>
      <c r="H125" s="83"/>
      <c r="I125" s="83"/>
      <c r="J125" s="83"/>
      <c r="K125" s="83"/>
      <c r="L125" s="35" t="s">
        <v>167</v>
      </c>
      <c r="M125" s="35" t="s">
        <v>9</v>
      </c>
      <c r="N125" s="35" t="s">
        <v>17</v>
      </c>
    </row>
    <row r="126" spans="1:14" ht="37.5" x14ac:dyDescent="0.3">
      <c r="A126" s="35">
        <v>125</v>
      </c>
      <c r="B126" s="77" t="s">
        <v>65</v>
      </c>
      <c r="C126" s="35" t="s">
        <v>168</v>
      </c>
      <c r="D126" s="77" t="s">
        <v>2027</v>
      </c>
      <c r="E126" s="83"/>
      <c r="F126" s="83"/>
      <c r="G126" s="83"/>
      <c r="H126" s="83"/>
      <c r="I126" s="83"/>
      <c r="J126" s="83"/>
      <c r="K126" s="83"/>
      <c r="L126" s="35" t="s">
        <v>168</v>
      </c>
      <c r="M126" s="35" t="s">
        <v>9</v>
      </c>
      <c r="N126" s="35" t="s">
        <v>17</v>
      </c>
    </row>
    <row r="127" spans="1:14" ht="37.5" x14ac:dyDescent="0.3">
      <c r="A127" s="35">
        <v>126</v>
      </c>
      <c r="B127" s="77" t="s">
        <v>65</v>
      </c>
      <c r="C127" s="35" t="s">
        <v>169</v>
      </c>
      <c r="D127" s="77" t="s">
        <v>2028</v>
      </c>
      <c r="E127" s="83"/>
      <c r="F127" s="83"/>
      <c r="G127" s="83"/>
      <c r="H127" s="83"/>
      <c r="I127" s="83"/>
      <c r="J127" s="83"/>
      <c r="K127" s="83"/>
      <c r="L127" s="35" t="s">
        <v>169</v>
      </c>
      <c r="M127" s="35" t="s">
        <v>9</v>
      </c>
      <c r="N127" s="35" t="s">
        <v>17</v>
      </c>
    </row>
    <row r="128" spans="1:14" ht="37.5" x14ac:dyDescent="0.3">
      <c r="A128" s="35">
        <v>127</v>
      </c>
      <c r="B128" s="77" t="s">
        <v>65</v>
      </c>
      <c r="C128" s="35" t="s">
        <v>170</v>
      </c>
      <c r="D128" s="77" t="s">
        <v>2029</v>
      </c>
      <c r="E128" s="83"/>
      <c r="F128" s="83"/>
      <c r="G128" s="83"/>
      <c r="H128" s="83"/>
      <c r="I128" s="83"/>
      <c r="J128" s="83"/>
      <c r="K128" s="83"/>
      <c r="L128" s="35" t="s">
        <v>170</v>
      </c>
      <c r="M128" s="35" t="s">
        <v>9</v>
      </c>
      <c r="N128" s="35" t="s">
        <v>17</v>
      </c>
    </row>
    <row r="129" spans="1:14" ht="37.5" x14ac:dyDescent="0.3">
      <c r="A129" s="35">
        <v>128</v>
      </c>
      <c r="B129" s="77" t="s">
        <v>65</v>
      </c>
      <c r="C129" s="35" t="s">
        <v>171</v>
      </c>
      <c r="D129" s="77" t="s">
        <v>2030</v>
      </c>
      <c r="E129" s="83"/>
      <c r="F129" s="83"/>
      <c r="G129" s="83"/>
      <c r="H129" s="83"/>
      <c r="I129" s="83"/>
      <c r="J129" s="83"/>
      <c r="K129" s="83"/>
      <c r="L129" s="35" t="s">
        <v>171</v>
      </c>
      <c r="M129" s="35" t="s">
        <v>9</v>
      </c>
      <c r="N129" s="35" t="s">
        <v>17</v>
      </c>
    </row>
    <row r="130" spans="1:14" ht="37.5" x14ac:dyDescent="0.3">
      <c r="A130" s="35">
        <v>129</v>
      </c>
      <c r="B130" s="77" t="s">
        <v>65</v>
      </c>
      <c r="C130" s="35" t="s">
        <v>172</v>
      </c>
      <c r="D130" s="77" t="s">
        <v>2031</v>
      </c>
      <c r="E130" s="83"/>
      <c r="F130" s="83"/>
      <c r="G130" s="83"/>
      <c r="H130" s="83"/>
      <c r="I130" s="83"/>
      <c r="J130" s="83"/>
      <c r="K130" s="83"/>
      <c r="L130" s="35" t="s">
        <v>172</v>
      </c>
      <c r="M130" s="35" t="s">
        <v>9</v>
      </c>
      <c r="N130" s="35" t="s">
        <v>17</v>
      </c>
    </row>
    <row r="131" spans="1:14" ht="37.5" x14ac:dyDescent="0.3">
      <c r="A131" s="35">
        <v>130</v>
      </c>
      <c r="B131" s="77" t="s">
        <v>65</v>
      </c>
      <c r="C131" s="35" t="s">
        <v>173</v>
      </c>
      <c r="D131" s="77" t="s">
        <v>2032</v>
      </c>
      <c r="E131" s="83"/>
      <c r="F131" s="83"/>
      <c r="G131" s="83"/>
      <c r="H131" s="83"/>
      <c r="I131" s="83"/>
      <c r="J131" s="83"/>
      <c r="K131" s="83"/>
      <c r="L131" s="35" t="s">
        <v>173</v>
      </c>
      <c r="M131" s="35" t="s">
        <v>9</v>
      </c>
      <c r="N131" s="35" t="s">
        <v>17</v>
      </c>
    </row>
    <row r="132" spans="1:14" ht="37.5" x14ac:dyDescent="0.3">
      <c r="A132" s="35">
        <v>131</v>
      </c>
      <c r="B132" s="77" t="s">
        <v>1921</v>
      </c>
      <c r="C132" s="35" t="s">
        <v>91</v>
      </c>
      <c r="D132" s="77" t="s">
        <v>2033</v>
      </c>
      <c r="E132" s="83"/>
      <c r="F132" s="83"/>
      <c r="G132" s="83"/>
      <c r="H132" s="83"/>
      <c r="I132" s="83"/>
      <c r="J132" s="83"/>
      <c r="K132" s="83"/>
      <c r="L132" s="89" t="s">
        <v>91</v>
      </c>
      <c r="M132" s="35" t="s">
        <v>9</v>
      </c>
      <c r="N132" s="35" t="s">
        <v>91</v>
      </c>
    </row>
    <row r="133" spans="1:14" ht="39" customHeight="1" x14ac:dyDescent="0.3">
      <c r="A133" s="35">
        <v>132</v>
      </c>
      <c r="B133" s="77" t="s">
        <v>1922</v>
      </c>
      <c r="C133" s="35" t="s">
        <v>90</v>
      </c>
      <c r="D133" s="77" t="s">
        <v>2034</v>
      </c>
      <c r="E133" s="83"/>
      <c r="F133" s="83"/>
      <c r="G133" s="83"/>
      <c r="H133" s="83"/>
      <c r="I133" s="83"/>
      <c r="J133" s="83"/>
      <c r="K133" s="83"/>
      <c r="L133" s="35" t="s">
        <v>90</v>
      </c>
      <c r="M133" s="35" t="s">
        <v>9</v>
      </c>
      <c r="N133" s="35" t="s">
        <v>91</v>
      </c>
    </row>
    <row r="134" spans="1:14" ht="37.5" x14ac:dyDescent="0.3">
      <c r="A134" s="35">
        <v>133</v>
      </c>
      <c r="B134" s="77" t="s">
        <v>1923</v>
      </c>
      <c r="C134" s="35" t="s">
        <v>92</v>
      </c>
      <c r="D134" s="77" t="s">
        <v>2035</v>
      </c>
      <c r="E134" s="83"/>
      <c r="F134" s="83"/>
      <c r="G134" s="83"/>
      <c r="H134" s="83"/>
      <c r="I134" s="83"/>
      <c r="J134" s="83"/>
      <c r="K134" s="83"/>
      <c r="L134" s="35" t="s">
        <v>92</v>
      </c>
      <c r="M134" s="35" t="s">
        <v>9</v>
      </c>
      <c r="N134" s="35" t="s">
        <v>91</v>
      </c>
    </row>
    <row r="135" spans="1:14" ht="37.5" x14ac:dyDescent="0.3">
      <c r="A135" s="35">
        <v>134</v>
      </c>
      <c r="B135" s="77" t="s">
        <v>1924</v>
      </c>
      <c r="C135" s="35" t="s">
        <v>93</v>
      </c>
      <c r="D135" s="77" t="s">
        <v>2036</v>
      </c>
      <c r="E135" s="83"/>
      <c r="F135" s="83"/>
      <c r="G135" s="83"/>
      <c r="H135" s="83"/>
      <c r="I135" s="83"/>
      <c r="J135" s="83"/>
      <c r="K135" s="83"/>
      <c r="L135" s="35" t="s">
        <v>93</v>
      </c>
      <c r="M135" s="35" t="s">
        <v>9</v>
      </c>
      <c r="N135" s="35" t="s">
        <v>91</v>
      </c>
    </row>
    <row r="136" spans="1:14" ht="37.5" x14ac:dyDescent="0.3">
      <c r="A136" s="35">
        <v>135</v>
      </c>
      <c r="B136" s="77" t="s">
        <v>1925</v>
      </c>
      <c r="C136" s="35" t="s">
        <v>94</v>
      </c>
      <c r="D136" s="77" t="s">
        <v>2037</v>
      </c>
      <c r="E136" s="83"/>
      <c r="F136" s="83"/>
      <c r="G136" s="83"/>
      <c r="H136" s="83"/>
      <c r="I136" s="83"/>
      <c r="J136" s="83"/>
      <c r="K136" s="83"/>
      <c r="L136" s="35" t="s">
        <v>94</v>
      </c>
      <c r="M136" s="35" t="s">
        <v>9</v>
      </c>
      <c r="N136" s="35" t="s">
        <v>91</v>
      </c>
    </row>
    <row r="137" spans="1:14" ht="37.5" x14ac:dyDescent="0.3">
      <c r="A137" s="35">
        <v>136</v>
      </c>
      <c r="B137" s="77" t="s">
        <v>1926</v>
      </c>
      <c r="C137" s="35" t="s">
        <v>95</v>
      </c>
      <c r="D137" s="77" t="s">
        <v>2038</v>
      </c>
      <c r="E137" s="83"/>
      <c r="F137" s="83"/>
      <c r="G137" s="83"/>
      <c r="H137" s="83"/>
      <c r="I137" s="83"/>
      <c r="J137" s="83"/>
      <c r="K137" s="83"/>
      <c r="L137" s="35" t="s">
        <v>95</v>
      </c>
      <c r="M137" s="35" t="s">
        <v>9</v>
      </c>
      <c r="N137" s="35" t="s">
        <v>91</v>
      </c>
    </row>
    <row r="138" spans="1:14" ht="37.5" x14ac:dyDescent="0.3">
      <c r="A138" s="35">
        <v>137</v>
      </c>
      <c r="B138" s="77" t="s">
        <v>1927</v>
      </c>
      <c r="C138" s="35" t="s">
        <v>96</v>
      </c>
      <c r="D138" s="77" t="s">
        <v>2039</v>
      </c>
      <c r="E138" s="83"/>
      <c r="F138" s="83"/>
      <c r="G138" s="83"/>
      <c r="H138" s="83"/>
      <c r="I138" s="83"/>
      <c r="J138" s="83"/>
      <c r="K138" s="83"/>
      <c r="L138" s="35" t="s">
        <v>96</v>
      </c>
      <c r="M138" s="35" t="s">
        <v>9</v>
      </c>
      <c r="N138" s="35" t="s">
        <v>91</v>
      </c>
    </row>
    <row r="139" spans="1:14" ht="37.5" x14ac:dyDescent="0.3">
      <c r="A139" s="35">
        <v>138</v>
      </c>
      <c r="B139" s="77" t="s">
        <v>1928</v>
      </c>
      <c r="C139" s="35" t="s">
        <v>97</v>
      </c>
      <c r="D139" s="77" t="s">
        <v>2040</v>
      </c>
      <c r="E139" s="83"/>
      <c r="F139" s="83"/>
      <c r="G139" s="83"/>
      <c r="H139" s="83"/>
      <c r="I139" s="83"/>
      <c r="J139" s="83"/>
      <c r="K139" s="83"/>
      <c r="L139" s="35" t="s">
        <v>97</v>
      </c>
      <c r="M139" s="35" t="s">
        <v>9</v>
      </c>
      <c r="N139" s="35" t="s">
        <v>91</v>
      </c>
    </row>
    <row r="140" spans="1:14" ht="37.5" x14ac:dyDescent="0.3">
      <c r="A140" s="35">
        <v>139</v>
      </c>
      <c r="B140" s="77" t="s">
        <v>1929</v>
      </c>
      <c r="C140" s="35" t="s">
        <v>99</v>
      </c>
      <c r="D140" s="77" t="s">
        <v>2041</v>
      </c>
      <c r="E140" s="83"/>
      <c r="F140" s="83"/>
      <c r="G140" s="83"/>
      <c r="H140" s="83"/>
      <c r="I140" s="83"/>
      <c r="J140" s="83"/>
      <c r="K140" s="83"/>
      <c r="L140" s="35" t="s">
        <v>99</v>
      </c>
      <c r="M140" s="35" t="s">
        <v>9</v>
      </c>
      <c r="N140" s="35" t="s">
        <v>91</v>
      </c>
    </row>
    <row r="141" spans="1:14" ht="37.5" x14ac:dyDescent="0.3">
      <c r="A141" s="35">
        <v>140</v>
      </c>
      <c r="B141" s="77" t="s">
        <v>1930</v>
      </c>
      <c r="C141" s="35" t="s">
        <v>98</v>
      </c>
      <c r="D141" s="77" t="s">
        <v>2042</v>
      </c>
      <c r="E141" s="83"/>
      <c r="F141" s="83"/>
      <c r="G141" s="83"/>
      <c r="H141" s="83"/>
      <c r="I141" s="83"/>
      <c r="J141" s="83"/>
      <c r="K141" s="83"/>
      <c r="L141" s="35" t="s">
        <v>98</v>
      </c>
      <c r="M141" s="35" t="s">
        <v>9</v>
      </c>
      <c r="N141" s="35" t="s">
        <v>91</v>
      </c>
    </row>
    <row r="142" spans="1:14" ht="37.5" x14ac:dyDescent="0.3">
      <c r="A142" s="35">
        <v>141</v>
      </c>
      <c r="B142" s="77" t="s">
        <v>1931</v>
      </c>
      <c r="C142" s="35" t="s">
        <v>100</v>
      </c>
      <c r="D142" s="77" t="s">
        <v>2043</v>
      </c>
      <c r="E142" s="83"/>
      <c r="F142" s="83"/>
      <c r="G142" s="83"/>
      <c r="H142" s="83"/>
      <c r="I142" s="83"/>
      <c r="J142" s="83"/>
      <c r="K142" s="83"/>
      <c r="L142" s="35" t="s">
        <v>100</v>
      </c>
      <c r="M142" s="35" t="s">
        <v>9</v>
      </c>
      <c r="N142" s="35" t="s">
        <v>91</v>
      </c>
    </row>
    <row r="143" spans="1:14" ht="37.5" x14ac:dyDescent="0.3">
      <c r="A143" s="35">
        <v>142</v>
      </c>
      <c r="B143" s="77" t="s">
        <v>1932</v>
      </c>
      <c r="C143" s="35" t="s">
        <v>118</v>
      </c>
      <c r="D143" s="77" t="s">
        <v>2044</v>
      </c>
      <c r="E143" s="83"/>
      <c r="F143" s="83"/>
      <c r="G143" s="83"/>
      <c r="H143" s="83"/>
      <c r="I143" s="83"/>
      <c r="J143" s="83"/>
      <c r="K143" s="83"/>
      <c r="L143" s="35" t="s">
        <v>118</v>
      </c>
      <c r="M143" s="35" t="s">
        <v>9</v>
      </c>
      <c r="N143" s="35" t="s">
        <v>91</v>
      </c>
    </row>
    <row r="144" spans="1:14" ht="37.5" x14ac:dyDescent="0.3">
      <c r="A144" s="35">
        <v>143</v>
      </c>
      <c r="B144" s="77" t="s">
        <v>1933</v>
      </c>
      <c r="C144" s="35" t="s">
        <v>101</v>
      </c>
      <c r="D144" s="77" t="s">
        <v>2045</v>
      </c>
      <c r="E144" s="83"/>
      <c r="F144" s="83"/>
      <c r="G144" s="83"/>
      <c r="H144" s="83"/>
      <c r="I144" s="83"/>
      <c r="J144" s="83"/>
      <c r="K144" s="83"/>
      <c r="L144" s="89" t="s">
        <v>91</v>
      </c>
      <c r="M144" s="35" t="s">
        <v>9</v>
      </c>
      <c r="N144" s="35" t="s">
        <v>91</v>
      </c>
    </row>
    <row r="145" spans="1:14" s="185" customFormat="1" ht="37.5" x14ac:dyDescent="0.3">
      <c r="A145" s="35">
        <v>144</v>
      </c>
      <c r="B145" s="77" t="s">
        <v>1934</v>
      </c>
      <c r="C145" s="35" t="s">
        <v>119</v>
      </c>
      <c r="D145" s="77" t="s">
        <v>2046</v>
      </c>
      <c r="E145" s="83"/>
      <c r="F145" s="83"/>
      <c r="G145" s="83"/>
      <c r="H145" s="83"/>
      <c r="I145" s="83"/>
      <c r="J145" s="83"/>
      <c r="K145" s="83"/>
      <c r="L145" s="35" t="s">
        <v>119</v>
      </c>
      <c r="M145" s="35" t="s">
        <v>9</v>
      </c>
      <c r="N145" s="35" t="s">
        <v>91</v>
      </c>
    </row>
    <row r="146" spans="1:14" ht="37.5" x14ac:dyDescent="0.3">
      <c r="A146" s="35">
        <v>145</v>
      </c>
      <c r="B146" s="77" t="s">
        <v>1935</v>
      </c>
      <c r="C146" s="35" t="s">
        <v>102</v>
      </c>
      <c r="D146" s="77" t="s">
        <v>2047</v>
      </c>
      <c r="E146" s="83"/>
      <c r="F146" s="83"/>
      <c r="G146" s="83"/>
      <c r="H146" s="83"/>
      <c r="I146" s="83"/>
      <c r="J146" s="83"/>
      <c r="K146" s="83"/>
      <c r="L146" s="35" t="s">
        <v>102</v>
      </c>
      <c r="M146" s="35" t="s">
        <v>9</v>
      </c>
      <c r="N146" s="35" t="s">
        <v>91</v>
      </c>
    </row>
    <row r="147" spans="1:14" ht="37.5" x14ac:dyDescent="0.3">
      <c r="A147" s="35">
        <v>146</v>
      </c>
      <c r="B147" s="77" t="s">
        <v>1936</v>
      </c>
      <c r="C147" s="35" t="s">
        <v>103</v>
      </c>
      <c r="D147" s="77" t="s">
        <v>2048</v>
      </c>
      <c r="E147" s="83"/>
      <c r="F147" s="83"/>
      <c r="G147" s="83"/>
      <c r="H147" s="83"/>
      <c r="I147" s="83"/>
      <c r="J147" s="83"/>
      <c r="K147" s="83"/>
      <c r="L147" s="35" t="s">
        <v>103</v>
      </c>
      <c r="M147" s="35" t="s">
        <v>9</v>
      </c>
      <c r="N147" s="35" t="s">
        <v>91</v>
      </c>
    </row>
    <row r="148" spans="1:14" ht="37.5" x14ac:dyDescent="0.3">
      <c r="A148" s="35">
        <v>147</v>
      </c>
      <c r="B148" s="77" t="s">
        <v>1937</v>
      </c>
      <c r="C148" s="35" t="s">
        <v>104</v>
      </c>
      <c r="D148" s="77" t="s">
        <v>2049</v>
      </c>
      <c r="E148" s="83"/>
      <c r="F148" s="83"/>
      <c r="G148" s="83"/>
      <c r="H148" s="83"/>
      <c r="I148" s="83"/>
      <c r="J148" s="83"/>
      <c r="K148" s="83"/>
      <c r="L148" s="35" t="s">
        <v>104</v>
      </c>
      <c r="M148" s="35" t="s">
        <v>9</v>
      </c>
      <c r="N148" s="35" t="s">
        <v>91</v>
      </c>
    </row>
    <row r="149" spans="1:14" ht="37.5" x14ac:dyDescent="0.3">
      <c r="A149" s="35">
        <v>148</v>
      </c>
      <c r="B149" s="77" t="s">
        <v>1938</v>
      </c>
      <c r="C149" s="35" t="s">
        <v>105</v>
      </c>
      <c r="D149" s="77" t="s">
        <v>2050</v>
      </c>
      <c r="E149" s="83"/>
      <c r="F149" s="83"/>
      <c r="G149" s="83"/>
      <c r="H149" s="83"/>
      <c r="I149" s="83"/>
      <c r="J149" s="83"/>
      <c r="K149" s="83"/>
      <c r="L149" s="35" t="s">
        <v>105</v>
      </c>
      <c r="M149" s="35" t="s">
        <v>9</v>
      </c>
      <c r="N149" s="35" t="s">
        <v>91</v>
      </c>
    </row>
    <row r="150" spans="1:14" ht="37.5" x14ac:dyDescent="0.3">
      <c r="A150" s="35">
        <v>149</v>
      </c>
      <c r="B150" s="77" t="s">
        <v>1939</v>
      </c>
      <c r="C150" s="35" t="s">
        <v>106</v>
      </c>
      <c r="D150" s="77" t="s">
        <v>2051</v>
      </c>
      <c r="E150" s="83"/>
      <c r="F150" s="83"/>
      <c r="G150" s="83"/>
      <c r="H150" s="83"/>
      <c r="I150" s="83"/>
      <c r="J150" s="83"/>
      <c r="K150" s="83"/>
      <c r="L150" s="35" t="s">
        <v>106</v>
      </c>
      <c r="M150" s="35" t="s">
        <v>9</v>
      </c>
      <c r="N150" s="35" t="s">
        <v>91</v>
      </c>
    </row>
    <row r="151" spans="1:14" ht="37.5" x14ac:dyDescent="0.3">
      <c r="A151" s="35">
        <v>150</v>
      </c>
      <c r="B151" s="77" t="s">
        <v>1940</v>
      </c>
      <c r="C151" s="35" t="s">
        <v>107</v>
      </c>
      <c r="D151" s="77" t="s">
        <v>2052</v>
      </c>
      <c r="E151" s="83"/>
      <c r="F151" s="83"/>
      <c r="G151" s="83"/>
      <c r="H151" s="83"/>
      <c r="I151" s="83"/>
      <c r="J151" s="83"/>
      <c r="K151" s="83"/>
      <c r="L151" s="35" t="s">
        <v>107</v>
      </c>
      <c r="M151" s="35" t="s">
        <v>9</v>
      </c>
      <c r="N151" s="35" t="s">
        <v>91</v>
      </c>
    </row>
    <row r="152" spans="1:14" ht="37.5" x14ac:dyDescent="0.3">
      <c r="A152" s="35">
        <v>151</v>
      </c>
      <c r="B152" s="77" t="s">
        <v>1941</v>
      </c>
      <c r="C152" s="35" t="s">
        <v>108</v>
      </c>
      <c r="D152" s="77" t="s">
        <v>2053</v>
      </c>
      <c r="E152" s="83"/>
      <c r="F152" s="83"/>
      <c r="G152" s="83"/>
      <c r="H152" s="83"/>
      <c r="I152" s="83"/>
      <c r="J152" s="83"/>
      <c r="K152" s="83"/>
      <c r="L152" s="35" t="s">
        <v>108</v>
      </c>
      <c r="M152" s="35" t="s">
        <v>9</v>
      </c>
      <c r="N152" s="35" t="s">
        <v>91</v>
      </c>
    </row>
    <row r="153" spans="1:14" ht="37.5" x14ac:dyDescent="0.3">
      <c r="A153" s="35">
        <v>152</v>
      </c>
      <c r="B153" s="77" t="s">
        <v>1942</v>
      </c>
      <c r="C153" s="35" t="s">
        <v>109</v>
      </c>
      <c r="D153" s="77" t="s">
        <v>2054</v>
      </c>
      <c r="E153" s="83"/>
      <c r="F153" s="83"/>
      <c r="G153" s="83"/>
      <c r="H153" s="83"/>
      <c r="I153" s="83"/>
      <c r="J153" s="83"/>
      <c r="K153" s="83"/>
      <c r="L153" s="35" t="s">
        <v>109</v>
      </c>
      <c r="M153" s="35" t="s">
        <v>9</v>
      </c>
      <c r="N153" s="35" t="s">
        <v>91</v>
      </c>
    </row>
    <row r="154" spans="1:14" ht="37.5" x14ac:dyDescent="0.3">
      <c r="A154" s="35">
        <v>153</v>
      </c>
      <c r="B154" s="77" t="s">
        <v>1943</v>
      </c>
      <c r="C154" s="35" t="s">
        <v>110</v>
      </c>
      <c r="D154" s="77" t="s">
        <v>2055</v>
      </c>
      <c r="E154" s="83"/>
      <c r="F154" s="83"/>
      <c r="G154" s="83"/>
      <c r="H154" s="83"/>
      <c r="I154" s="83"/>
      <c r="J154" s="83"/>
      <c r="K154" s="83"/>
      <c r="L154" s="35" t="s">
        <v>110</v>
      </c>
      <c r="M154" s="35" t="s">
        <v>9</v>
      </c>
      <c r="N154" s="35" t="s">
        <v>91</v>
      </c>
    </row>
    <row r="155" spans="1:14" ht="37.5" x14ac:dyDescent="0.3">
      <c r="A155" s="35">
        <v>154</v>
      </c>
      <c r="B155" s="77" t="s">
        <v>1944</v>
      </c>
      <c r="C155" s="35" t="s">
        <v>111</v>
      </c>
      <c r="D155" s="77" t="s">
        <v>2056</v>
      </c>
      <c r="E155" s="83"/>
      <c r="F155" s="83"/>
      <c r="G155" s="83"/>
      <c r="H155" s="83"/>
      <c r="I155" s="83"/>
      <c r="J155" s="83"/>
      <c r="K155" s="83"/>
      <c r="L155" s="35" t="s">
        <v>111</v>
      </c>
      <c r="M155" s="35" t="s">
        <v>9</v>
      </c>
      <c r="N155" s="35" t="s">
        <v>91</v>
      </c>
    </row>
    <row r="156" spans="1:14" ht="37.5" x14ac:dyDescent="0.3">
      <c r="A156" s="35">
        <v>155</v>
      </c>
      <c r="B156" s="77" t="s">
        <v>1945</v>
      </c>
      <c r="C156" s="35" t="s">
        <v>112</v>
      </c>
      <c r="D156" s="77" t="s">
        <v>2057</v>
      </c>
      <c r="E156" s="83"/>
      <c r="F156" s="83"/>
      <c r="G156" s="83"/>
      <c r="H156" s="83"/>
      <c r="I156" s="83"/>
      <c r="J156" s="83"/>
      <c r="K156" s="83"/>
      <c r="L156" s="35" t="s">
        <v>112</v>
      </c>
      <c r="M156" s="35" t="s">
        <v>9</v>
      </c>
      <c r="N156" s="35" t="s">
        <v>91</v>
      </c>
    </row>
    <row r="157" spans="1:14" ht="37.5" x14ac:dyDescent="0.3">
      <c r="A157" s="35">
        <v>156</v>
      </c>
      <c r="B157" s="77" t="s">
        <v>1946</v>
      </c>
      <c r="C157" s="35" t="s">
        <v>113</v>
      </c>
      <c r="D157" s="77" t="s">
        <v>2058</v>
      </c>
      <c r="E157" s="83"/>
      <c r="F157" s="83"/>
      <c r="G157" s="83"/>
      <c r="H157" s="83"/>
      <c r="I157" s="83"/>
      <c r="J157" s="83"/>
      <c r="K157" s="83"/>
      <c r="L157" s="35" t="s">
        <v>113</v>
      </c>
      <c r="M157" s="35" t="s">
        <v>9</v>
      </c>
      <c r="N157" s="35" t="s">
        <v>91</v>
      </c>
    </row>
    <row r="158" spans="1:14" ht="37.5" x14ac:dyDescent="0.3">
      <c r="A158" s="35">
        <v>157</v>
      </c>
      <c r="B158" s="77" t="s">
        <v>1947</v>
      </c>
      <c r="C158" s="35" t="s">
        <v>114</v>
      </c>
      <c r="D158" s="77" t="s">
        <v>2059</v>
      </c>
      <c r="E158" s="83"/>
      <c r="F158" s="83"/>
      <c r="G158" s="83"/>
      <c r="H158" s="83"/>
      <c r="I158" s="83"/>
      <c r="J158" s="83"/>
      <c r="K158" s="83"/>
      <c r="L158" s="35" t="s">
        <v>114</v>
      </c>
      <c r="M158" s="35" t="s">
        <v>9</v>
      </c>
      <c r="N158" s="35" t="s">
        <v>91</v>
      </c>
    </row>
    <row r="159" spans="1:14" ht="37.5" x14ac:dyDescent="0.3">
      <c r="A159" s="35">
        <v>158</v>
      </c>
      <c r="B159" s="77" t="s">
        <v>1948</v>
      </c>
      <c r="C159" s="35" t="s">
        <v>115</v>
      </c>
      <c r="D159" s="77" t="s">
        <v>2060</v>
      </c>
      <c r="E159" s="83"/>
      <c r="F159" s="83"/>
      <c r="G159" s="83"/>
      <c r="H159" s="83"/>
      <c r="I159" s="83"/>
      <c r="J159" s="83"/>
      <c r="K159" s="83"/>
      <c r="L159" s="35" t="s">
        <v>115</v>
      </c>
      <c r="M159" s="35" t="s">
        <v>9</v>
      </c>
      <c r="N159" s="35" t="s">
        <v>91</v>
      </c>
    </row>
    <row r="160" spans="1:14" ht="37.5" x14ac:dyDescent="0.3">
      <c r="A160" s="35">
        <v>159</v>
      </c>
      <c r="B160" s="77" t="s">
        <v>1949</v>
      </c>
      <c r="C160" s="35" t="s">
        <v>116</v>
      </c>
      <c r="D160" s="77" t="s">
        <v>2061</v>
      </c>
      <c r="E160" s="83">
        <v>812246</v>
      </c>
      <c r="F160" s="83">
        <v>768550</v>
      </c>
      <c r="G160" s="83">
        <v>1245232</v>
      </c>
      <c r="H160" s="83">
        <v>662224</v>
      </c>
      <c r="I160" s="83">
        <v>630339</v>
      </c>
      <c r="J160" s="83">
        <v>681845</v>
      </c>
      <c r="K160" s="83">
        <v>804479</v>
      </c>
      <c r="L160" s="35" t="s">
        <v>91</v>
      </c>
      <c r="M160" s="35" t="s">
        <v>9</v>
      </c>
      <c r="N160" s="186"/>
    </row>
    <row r="161" spans="1:14" ht="37.5" x14ac:dyDescent="0.3">
      <c r="A161" s="35">
        <v>160</v>
      </c>
      <c r="B161" s="77" t="s">
        <v>1950</v>
      </c>
      <c r="C161" s="35" t="s">
        <v>117</v>
      </c>
      <c r="D161" s="77" t="s">
        <v>2062</v>
      </c>
      <c r="E161" s="83">
        <v>1629634</v>
      </c>
      <c r="F161" s="83">
        <v>948478</v>
      </c>
      <c r="G161" s="83">
        <v>1280747</v>
      </c>
      <c r="H161" s="83">
        <v>1532925</v>
      </c>
      <c r="I161" s="83">
        <v>829006</v>
      </c>
      <c r="J161" s="83">
        <v>708825</v>
      </c>
      <c r="K161" s="83">
        <v>387523</v>
      </c>
      <c r="L161" s="35" t="s">
        <v>91</v>
      </c>
      <c r="M161" s="35" t="s">
        <v>9</v>
      </c>
      <c r="N161" s="186"/>
    </row>
    <row r="162" spans="1:14" ht="37.5" x14ac:dyDescent="0.3">
      <c r="A162" s="35">
        <v>161</v>
      </c>
      <c r="B162" s="180" t="s">
        <v>65</v>
      </c>
      <c r="C162" s="35" t="s">
        <v>845</v>
      </c>
      <c r="D162" s="77" t="s">
        <v>2063</v>
      </c>
      <c r="E162" s="83"/>
      <c r="F162" s="83"/>
      <c r="G162" s="83"/>
      <c r="H162" s="83"/>
      <c r="I162" s="83"/>
      <c r="J162" s="83"/>
      <c r="K162" s="83"/>
      <c r="L162" s="35" t="s">
        <v>845</v>
      </c>
      <c r="M162" s="35" t="s">
        <v>9</v>
      </c>
      <c r="N162" s="69"/>
    </row>
    <row r="163" spans="1:14" ht="37.5" x14ac:dyDescent="0.3">
      <c r="A163" s="35">
        <v>162</v>
      </c>
      <c r="B163" s="180" t="s">
        <v>65</v>
      </c>
      <c r="C163" s="35" t="s">
        <v>846</v>
      </c>
      <c r="D163" s="77" t="s">
        <v>2064</v>
      </c>
      <c r="E163" s="83"/>
      <c r="F163" s="83"/>
      <c r="G163" s="83"/>
      <c r="H163" s="83"/>
      <c r="I163" s="83"/>
      <c r="J163" s="83"/>
      <c r="K163" s="83"/>
      <c r="L163" s="35" t="s">
        <v>846</v>
      </c>
      <c r="M163" s="35" t="s">
        <v>9</v>
      </c>
      <c r="N163" s="69"/>
    </row>
    <row r="164" spans="1:14" ht="37.5" x14ac:dyDescent="0.3">
      <c r="A164" s="35">
        <v>163</v>
      </c>
      <c r="B164" s="180" t="s">
        <v>65</v>
      </c>
      <c r="C164" s="35" t="s">
        <v>847</v>
      </c>
      <c r="D164" s="77" t="s">
        <v>2065</v>
      </c>
      <c r="E164" s="83"/>
      <c r="F164" s="83"/>
      <c r="G164" s="83"/>
      <c r="H164" s="83"/>
      <c r="I164" s="83"/>
      <c r="J164" s="83"/>
      <c r="K164" s="83"/>
      <c r="L164" s="35" t="s">
        <v>847</v>
      </c>
      <c r="M164" s="35" t="s">
        <v>9</v>
      </c>
      <c r="N164" s="69"/>
    </row>
    <row r="165" spans="1:14" ht="37.5" x14ac:dyDescent="0.3">
      <c r="A165" s="35">
        <v>164</v>
      </c>
      <c r="B165" s="180" t="s">
        <v>65</v>
      </c>
      <c r="C165" s="35" t="s">
        <v>848</v>
      </c>
      <c r="D165" s="77" t="s">
        <v>2066</v>
      </c>
      <c r="E165" s="83"/>
      <c r="F165" s="83"/>
      <c r="G165" s="83"/>
      <c r="H165" s="83"/>
      <c r="I165" s="83"/>
      <c r="J165" s="83"/>
      <c r="K165" s="83"/>
      <c r="L165" s="35" t="s">
        <v>848</v>
      </c>
      <c r="M165" s="35" t="s">
        <v>9</v>
      </c>
      <c r="N165" s="69"/>
    </row>
    <row r="166" spans="1:14" ht="37.5" x14ac:dyDescent="0.3">
      <c r="A166" s="35">
        <v>165</v>
      </c>
      <c r="B166" s="180" t="s">
        <v>65</v>
      </c>
      <c r="C166" s="35" t="s">
        <v>849</v>
      </c>
      <c r="D166" s="77" t="s">
        <v>2067</v>
      </c>
      <c r="E166" s="83"/>
      <c r="F166" s="83"/>
      <c r="G166" s="83"/>
      <c r="H166" s="83"/>
      <c r="I166" s="83"/>
      <c r="J166" s="83"/>
      <c r="K166" s="83"/>
      <c r="L166" s="35" t="s">
        <v>849</v>
      </c>
      <c r="M166" s="35" t="s">
        <v>9</v>
      </c>
      <c r="N166" s="69"/>
    </row>
    <row r="167" spans="1:14" ht="37.5" x14ac:dyDescent="0.3">
      <c r="A167" s="35">
        <v>166</v>
      </c>
      <c r="B167" s="180" t="s">
        <v>65</v>
      </c>
      <c r="C167" s="35" t="s">
        <v>850</v>
      </c>
      <c r="D167" s="77" t="s">
        <v>2068</v>
      </c>
      <c r="E167" s="83"/>
      <c r="F167" s="83"/>
      <c r="G167" s="83"/>
      <c r="H167" s="83"/>
      <c r="I167" s="83"/>
      <c r="J167" s="83"/>
      <c r="K167" s="83"/>
      <c r="L167" s="35" t="s">
        <v>850</v>
      </c>
      <c r="M167" s="35" t="s">
        <v>9</v>
      </c>
      <c r="N167" s="69"/>
    </row>
    <row r="168" spans="1:14" ht="37.5" x14ac:dyDescent="0.3">
      <c r="A168" s="35">
        <v>167</v>
      </c>
      <c r="B168" s="180" t="s">
        <v>65</v>
      </c>
      <c r="C168" s="35" t="s">
        <v>851</v>
      </c>
      <c r="D168" s="77" t="s">
        <v>2069</v>
      </c>
      <c r="E168" s="83"/>
      <c r="F168" s="83"/>
      <c r="G168" s="83"/>
      <c r="H168" s="83"/>
      <c r="I168" s="83"/>
      <c r="J168" s="83"/>
      <c r="K168" s="83"/>
      <c r="L168" s="35" t="s">
        <v>851</v>
      </c>
      <c r="M168" s="35" t="s">
        <v>9</v>
      </c>
      <c r="N168" s="69"/>
    </row>
    <row r="169" spans="1:14" ht="37.5" x14ac:dyDescent="0.3">
      <c r="A169" s="35">
        <v>168</v>
      </c>
      <c r="B169" s="180" t="s">
        <v>65</v>
      </c>
      <c r="C169" s="35" t="s">
        <v>852</v>
      </c>
      <c r="D169" s="77" t="s">
        <v>2070</v>
      </c>
      <c r="E169" s="83"/>
      <c r="F169" s="83"/>
      <c r="G169" s="83"/>
      <c r="H169" s="83"/>
      <c r="I169" s="83"/>
      <c r="J169" s="83"/>
      <c r="K169" s="83"/>
      <c r="L169" s="35" t="s">
        <v>852</v>
      </c>
      <c r="M169" s="35" t="s">
        <v>9</v>
      </c>
      <c r="N169" s="69"/>
    </row>
    <row r="170" spans="1:14" ht="37.5" x14ac:dyDescent="0.3">
      <c r="A170" s="35">
        <v>169</v>
      </c>
      <c r="B170" s="180" t="s">
        <v>65</v>
      </c>
      <c r="C170" s="35" t="s">
        <v>853</v>
      </c>
      <c r="D170" s="77" t="s">
        <v>2071</v>
      </c>
      <c r="E170" s="83"/>
      <c r="F170" s="83"/>
      <c r="G170" s="83"/>
      <c r="H170" s="83"/>
      <c r="I170" s="83"/>
      <c r="J170" s="83"/>
      <c r="K170" s="83"/>
      <c r="L170" s="35" t="s">
        <v>853</v>
      </c>
      <c r="M170" s="35" t="s">
        <v>9</v>
      </c>
      <c r="N170" s="69"/>
    </row>
    <row r="171" spans="1:14" ht="37.5" x14ac:dyDescent="0.3">
      <c r="A171" s="35">
        <v>170</v>
      </c>
      <c r="B171" s="180" t="s">
        <v>65</v>
      </c>
      <c r="C171" s="35" t="s">
        <v>854</v>
      </c>
      <c r="D171" s="77" t="s">
        <v>2072</v>
      </c>
      <c r="E171" s="83"/>
      <c r="F171" s="83"/>
      <c r="G171" s="83"/>
      <c r="H171" s="83"/>
      <c r="I171" s="83"/>
      <c r="J171" s="83"/>
      <c r="K171" s="83"/>
      <c r="L171" s="35" t="s">
        <v>854</v>
      </c>
      <c r="M171" s="35" t="s">
        <v>9</v>
      </c>
      <c r="N171" s="69"/>
    </row>
    <row r="172" spans="1:14" ht="37.5" x14ac:dyDescent="0.3">
      <c r="A172" s="35">
        <v>171</v>
      </c>
      <c r="B172" s="180" t="s">
        <v>65</v>
      </c>
      <c r="C172" s="35" t="s">
        <v>855</v>
      </c>
      <c r="D172" s="77" t="s">
        <v>2073</v>
      </c>
      <c r="E172" s="83"/>
      <c r="F172" s="83"/>
      <c r="G172" s="83"/>
      <c r="H172" s="83"/>
      <c r="I172" s="83"/>
      <c r="J172" s="83"/>
      <c r="K172" s="83"/>
      <c r="L172" s="35" t="s">
        <v>855</v>
      </c>
      <c r="M172" s="35" t="s">
        <v>9</v>
      </c>
      <c r="N172" s="69"/>
    </row>
    <row r="173" spans="1:14" ht="37.5" x14ac:dyDescent="0.3">
      <c r="A173" s="35">
        <v>172</v>
      </c>
      <c r="B173" s="180" t="s">
        <v>65</v>
      </c>
      <c r="C173" s="35" t="s">
        <v>856</v>
      </c>
      <c r="D173" s="77" t="s">
        <v>2074</v>
      </c>
      <c r="E173" s="83"/>
      <c r="F173" s="83"/>
      <c r="G173" s="83"/>
      <c r="H173" s="83"/>
      <c r="I173" s="83"/>
      <c r="J173" s="83"/>
      <c r="K173" s="83"/>
      <c r="L173" s="35" t="s">
        <v>856</v>
      </c>
      <c r="M173" s="35" t="s">
        <v>9</v>
      </c>
      <c r="N173" s="69"/>
    </row>
    <row r="174" spans="1:14" ht="37.5" x14ac:dyDescent="0.3">
      <c r="A174" s="35">
        <v>173</v>
      </c>
      <c r="B174" s="180" t="s">
        <v>65</v>
      </c>
      <c r="C174" s="35" t="s">
        <v>857</v>
      </c>
      <c r="D174" s="77" t="s">
        <v>2075</v>
      </c>
      <c r="E174" s="83"/>
      <c r="F174" s="83"/>
      <c r="G174" s="83"/>
      <c r="H174" s="83"/>
      <c r="I174" s="83"/>
      <c r="J174" s="83"/>
      <c r="K174" s="83"/>
      <c r="L174" s="35" t="s">
        <v>857</v>
      </c>
      <c r="M174" s="35" t="s">
        <v>9</v>
      </c>
      <c r="N174" s="69"/>
    </row>
    <row r="175" spans="1:14" ht="37.5" x14ac:dyDescent="0.3">
      <c r="A175" s="35">
        <v>174</v>
      </c>
      <c r="B175" s="180" t="s">
        <v>65</v>
      </c>
      <c r="C175" s="35" t="s">
        <v>858</v>
      </c>
      <c r="D175" s="77" t="s">
        <v>2076</v>
      </c>
      <c r="E175" s="83"/>
      <c r="F175" s="83"/>
      <c r="G175" s="83"/>
      <c r="H175" s="83"/>
      <c r="I175" s="83"/>
      <c r="J175" s="83"/>
      <c r="K175" s="83"/>
      <c r="L175" s="35" t="s">
        <v>858</v>
      </c>
      <c r="M175" s="35" t="s">
        <v>9</v>
      </c>
      <c r="N175" s="69"/>
    </row>
    <row r="176" spans="1:14" ht="37.5" x14ac:dyDescent="0.3">
      <c r="A176" s="35">
        <v>175</v>
      </c>
      <c r="B176" s="180" t="s">
        <v>65</v>
      </c>
      <c r="C176" s="35" t="s">
        <v>859</v>
      </c>
      <c r="D176" s="77" t="s">
        <v>2077</v>
      </c>
      <c r="E176" s="83"/>
      <c r="F176" s="83"/>
      <c r="G176" s="83"/>
      <c r="H176" s="83"/>
      <c r="I176" s="83"/>
      <c r="J176" s="83"/>
      <c r="K176" s="83"/>
      <c r="L176" s="35" t="s">
        <v>859</v>
      </c>
      <c r="M176" s="35" t="s">
        <v>9</v>
      </c>
      <c r="N176" s="69"/>
    </row>
    <row r="177" spans="1:14" ht="37.5" x14ac:dyDescent="0.3">
      <c r="A177" s="35">
        <v>176</v>
      </c>
      <c r="B177" s="180" t="s">
        <v>65</v>
      </c>
      <c r="C177" s="35" t="s">
        <v>860</v>
      </c>
      <c r="D177" s="77" t="s">
        <v>2078</v>
      </c>
      <c r="E177" s="83"/>
      <c r="F177" s="83"/>
      <c r="G177" s="83"/>
      <c r="H177" s="83"/>
      <c r="I177" s="83"/>
      <c r="J177" s="83"/>
      <c r="K177" s="83"/>
      <c r="L177" s="35" t="s">
        <v>860</v>
      </c>
      <c r="M177" s="35" t="s">
        <v>9</v>
      </c>
      <c r="N177" s="69"/>
    </row>
    <row r="178" spans="1:14" ht="37.5" x14ac:dyDescent="0.3">
      <c r="A178" s="35">
        <v>177</v>
      </c>
      <c r="B178" s="180" t="s">
        <v>65</v>
      </c>
      <c r="C178" s="35" t="s">
        <v>861</v>
      </c>
      <c r="D178" s="77" t="s">
        <v>2079</v>
      </c>
      <c r="E178" s="83"/>
      <c r="F178" s="83"/>
      <c r="G178" s="83"/>
      <c r="H178" s="83"/>
      <c r="I178" s="83"/>
      <c r="J178" s="83"/>
      <c r="K178" s="83"/>
      <c r="L178" s="35" t="s">
        <v>861</v>
      </c>
      <c r="M178" s="35" t="s">
        <v>9</v>
      </c>
      <c r="N178" s="69"/>
    </row>
    <row r="179" spans="1:14" ht="37.5" x14ac:dyDescent="0.3">
      <c r="A179" s="35">
        <v>178</v>
      </c>
      <c r="B179" s="180" t="s">
        <v>65</v>
      </c>
      <c r="C179" s="35" t="s">
        <v>862</v>
      </c>
      <c r="D179" s="77" t="s">
        <v>2080</v>
      </c>
      <c r="E179" s="83"/>
      <c r="F179" s="83"/>
      <c r="G179" s="83"/>
      <c r="H179" s="83"/>
      <c r="I179" s="83"/>
      <c r="J179" s="83"/>
      <c r="K179" s="83"/>
      <c r="L179" s="35" t="s">
        <v>862</v>
      </c>
      <c r="M179" s="35" t="s">
        <v>9</v>
      </c>
      <c r="N179" s="69"/>
    </row>
    <row r="180" spans="1:14" ht="37.5" x14ac:dyDescent="0.3">
      <c r="A180" s="35">
        <v>179</v>
      </c>
      <c r="B180" s="180" t="s">
        <v>65</v>
      </c>
      <c r="C180" s="35" t="s">
        <v>863</v>
      </c>
      <c r="D180" s="77" t="s">
        <v>2081</v>
      </c>
      <c r="E180" s="83"/>
      <c r="F180" s="83"/>
      <c r="G180" s="83"/>
      <c r="H180" s="83"/>
      <c r="I180" s="83"/>
      <c r="J180" s="83"/>
      <c r="K180" s="83"/>
      <c r="L180" s="35" t="s">
        <v>863</v>
      </c>
      <c r="M180" s="35" t="s">
        <v>9</v>
      </c>
      <c r="N180" s="69"/>
    </row>
    <row r="181" spans="1:14" ht="37.5" x14ac:dyDescent="0.3">
      <c r="A181" s="35">
        <v>180</v>
      </c>
      <c r="B181" s="180" t="s">
        <v>65</v>
      </c>
      <c r="C181" s="35" t="s">
        <v>864</v>
      </c>
      <c r="D181" s="77" t="s">
        <v>2082</v>
      </c>
      <c r="E181" s="83"/>
      <c r="F181" s="83"/>
      <c r="G181" s="83"/>
      <c r="H181" s="83"/>
      <c r="I181" s="83"/>
      <c r="J181" s="83"/>
      <c r="K181" s="83"/>
      <c r="L181" s="35" t="s">
        <v>864</v>
      </c>
      <c r="M181" s="35" t="s">
        <v>9</v>
      </c>
      <c r="N181" s="69"/>
    </row>
    <row r="182" spans="1:14" ht="37.5" x14ac:dyDescent="0.3">
      <c r="A182" s="35">
        <v>181</v>
      </c>
      <c r="B182" s="180" t="s">
        <v>65</v>
      </c>
      <c r="C182" s="35" t="s">
        <v>865</v>
      </c>
      <c r="D182" s="77" t="s">
        <v>2083</v>
      </c>
      <c r="E182" s="83"/>
      <c r="F182" s="83"/>
      <c r="G182" s="83"/>
      <c r="H182" s="83"/>
      <c r="I182" s="83"/>
      <c r="J182" s="83"/>
      <c r="K182" s="83"/>
      <c r="L182" s="35" t="s">
        <v>865</v>
      </c>
      <c r="M182" s="35" t="s">
        <v>9</v>
      </c>
      <c r="N182" s="69"/>
    </row>
    <row r="183" spans="1:14" ht="37.5" x14ac:dyDescent="0.3">
      <c r="A183" s="35">
        <v>182</v>
      </c>
      <c r="B183" s="180" t="s">
        <v>65</v>
      </c>
      <c r="C183" s="35" t="s">
        <v>866</v>
      </c>
      <c r="D183" s="77" t="s">
        <v>2084</v>
      </c>
      <c r="E183" s="83"/>
      <c r="F183" s="83"/>
      <c r="G183" s="83"/>
      <c r="H183" s="83"/>
      <c r="I183" s="83"/>
      <c r="J183" s="83"/>
      <c r="K183" s="83"/>
      <c r="L183" s="35" t="s">
        <v>866</v>
      </c>
      <c r="M183" s="35" t="s">
        <v>9</v>
      </c>
      <c r="N183" s="69"/>
    </row>
    <row r="184" spans="1:14" ht="37.5" x14ac:dyDescent="0.3">
      <c r="A184" s="35">
        <v>183</v>
      </c>
      <c r="B184" s="77" t="s">
        <v>65</v>
      </c>
      <c r="C184" s="35" t="s">
        <v>210</v>
      </c>
      <c r="D184" s="77" t="s">
        <v>2085</v>
      </c>
      <c r="E184" s="83"/>
      <c r="F184" s="83"/>
      <c r="G184" s="83"/>
      <c r="H184" s="83"/>
      <c r="I184" s="83"/>
      <c r="J184" s="83"/>
      <c r="K184" s="83"/>
      <c r="L184" s="35" t="s">
        <v>210</v>
      </c>
      <c r="M184" s="35" t="s">
        <v>9</v>
      </c>
      <c r="N184" s="35" t="s">
        <v>210</v>
      </c>
    </row>
    <row r="185" spans="1:14" ht="37.5" x14ac:dyDescent="0.3">
      <c r="A185" s="35">
        <v>184</v>
      </c>
      <c r="B185" s="77" t="s">
        <v>65</v>
      </c>
      <c r="C185" s="35" t="s">
        <v>211</v>
      </c>
      <c r="D185" s="77" t="s">
        <v>2086</v>
      </c>
      <c r="E185" s="83"/>
      <c r="F185" s="83"/>
      <c r="G185" s="83"/>
      <c r="H185" s="83"/>
      <c r="I185" s="83"/>
      <c r="J185" s="83"/>
      <c r="K185" s="83"/>
      <c r="L185" s="35" t="s">
        <v>211</v>
      </c>
      <c r="M185" s="35" t="s">
        <v>9</v>
      </c>
      <c r="N185" s="35" t="s">
        <v>210</v>
      </c>
    </row>
    <row r="186" spans="1:14" ht="37.5" x14ac:dyDescent="0.3">
      <c r="A186" s="35">
        <v>185</v>
      </c>
      <c r="B186" s="77" t="s">
        <v>65</v>
      </c>
      <c r="C186" s="35" t="s">
        <v>212</v>
      </c>
      <c r="D186" s="77" t="s">
        <v>2087</v>
      </c>
      <c r="E186" s="83"/>
      <c r="F186" s="83"/>
      <c r="G186" s="83"/>
      <c r="H186" s="83"/>
      <c r="I186" s="83"/>
      <c r="J186" s="83"/>
      <c r="K186" s="83"/>
      <c r="L186" s="35" t="s">
        <v>212</v>
      </c>
      <c r="M186" s="35" t="s">
        <v>9</v>
      </c>
      <c r="N186" s="35" t="s">
        <v>210</v>
      </c>
    </row>
    <row r="187" spans="1:14" ht="37.5" x14ac:dyDescent="0.3">
      <c r="A187" s="35">
        <v>186</v>
      </c>
      <c r="B187" s="77" t="s">
        <v>65</v>
      </c>
      <c r="C187" s="35" t="s">
        <v>213</v>
      </c>
      <c r="D187" s="77" t="s">
        <v>2088</v>
      </c>
      <c r="E187" s="83"/>
      <c r="F187" s="83"/>
      <c r="G187" s="83"/>
      <c r="H187" s="83"/>
      <c r="I187" s="83"/>
      <c r="J187" s="83"/>
      <c r="K187" s="83"/>
      <c r="L187" s="35" t="s">
        <v>213</v>
      </c>
      <c r="M187" s="35" t="s">
        <v>9</v>
      </c>
      <c r="N187" s="35" t="s">
        <v>210</v>
      </c>
    </row>
    <row r="188" spans="1:14" ht="37.5" x14ac:dyDescent="0.3">
      <c r="A188" s="35">
        <v>187</v>
      </c>
      <c r="B188" s="77" t="s">
        <v>65</v>
      </c>
      <c r="C188" s="35" t="s">
        <v>214</v>
      </c>
      <c r="D188" s="77" t="s">
        <v>2089</v>
      </c>
      <c r="E188" s="83"/>
      <c r="F188" s="83"/>
      <c r="G188" s="83"/>
      <c r="H188" s="83"/>
      <c r="I188" s="83"/>
      <c r="J188" s="83"/>
      <c r="K188" s="83"/>
      <c r="L188" s="35" t="s">
        <v>214</v>
      </c>
      <c r="M188" s="35" t="s">
        <v>9</v>
      </c>
      <c r="N188" s="35" t="s">
        <v>210</v>
      </c>
    </row>
    <row r="189" spans="1:14" ht="37.5" x14ac:dyDescent="0.3">
      <c r="A189" s="35">
        <v>188</v>
      </c>
      <c r="B189" s="77" t="s">
        <v>65</v>
      </c>
      <c r="C189" s="35" t="s">
        <v>215</v>
      </c>
      <c r="D189" s="77" t="s">
        <v>2090</v>
      </c>
      <c r="E189" s="83"/>
      <c r="F189" s="83"/>
      <c r="G189" s="83"/>
      <c r="H189" s="83"/>
      <c r="I189" s="83"/>
      <c r="J189" s="83"/>
      <c r="K189" s="83"/>
      <c r="L189" s="35" t="s">
        <v>215</v>
      </c>
      <c r="M189" s="35" t="s">
        <v>9</v>
      </c>
      <c r="N189" s="35" t="s">
        <v>210</v>
      </c>
    </row>
    <row r="190" spans="1:14" ht="37.5" x14ac:dyDescent="0.3">
      <c r="A190" s="35">
        <v>189</v>
      </c>
      <c r="B190" s="77" t="s">
        <v>65</v>
      </c>
      <c r="C190" s="35" t="s">
        <v>216</v>
      </c>
      <c r="D190" s="77" t="s">
        <v>2091</v>
      </c>
      <c r="E190" s="83"/>
      <c r="F190" s="83"/>
      <c r="G190" s="83"/>
      <c r="H190" s="83"/>
      <c r="I190" s="83"/>
      <c r="J190" s="83"/>
      <c r="K190" s="83"/>
      <c r="L190" s="35" t="s">
        <v>216</v>
      </c>
      <c r="M190" s="35" t="s">
        <v>9</v>
      </c>
      <c r="N190" s="35" t="s">
        <v>210</v>
      </c>
    </row>
    <row r="191" spans="1:14" ht="37.5" x14ac:dyDescent="0.3">
      <c r="A191" s="35">
        <v>190</v>
      </c>
      <c r="B191" s="77" t="s">
        <v>65</v>
      </c>
      <c r="C191" s="35" t="s">
        <v>217</v>
      </c>
      <c r="D191" s="77" t="s">
        <v>2092</v>
      </c>
      <c r="E191" s="83"/>
      <c r="F191" s="83"/>
      <c r="G191" s="83"/>
      <c r="H191" s="83"/>
      <c r="I191" s="83"/>
      <c r="J191" s="83"/>
      <c r="K191" s="83"/>
      <c r="L191" s="35" t="s">
        <v>217</v>
      </c>
      <c r="M191" s="35" t="s">
        <v>9</v>
      </c>
      <c r="N191" s="35" t="s">
        <v>210</v>
      </c>
    </row>
    <row r="192" spans="1:14" ht="37.5" x14ac:dyDescent="0.3">
      <c r="A192" s="35">
        <v>191</v>
      </c>
      <c r="B192" s="77" t="s">
        <v>65</v>
      </c>
      <c r="C192" s="35" t="s">
        <v>218</v>
      </c>
      <c r="D192" s="77" t="s">
        <v>2093</v>
      </c>
      <c r="E192" s="83"/>
      <c r="F192" s="83"/>
      <c r="G192" s="83"/>
      <c r="H192" s="83"/>
      <c r="I192" s="83"/>
      <c r="J192" s="83"/>
      <c r="K192" s="83"/>
      <c r="L192" s="35" t="s">
        <v>218</v>
      </c>
      <c r="M192" s="35" t="s">
        <v>9</v>
      </c>
      <c r="N192" s="35" t="s">
        <v>210</v>
      </c>
    </row>
    <row r="193" spans="1:14" ht="37.5" x14ac:dyDescent="0.3">
      <c r="A193" s="35">
        <v>192</v>
      </c>
      <c r="B193" s="77" t="s">
        <v>65</v>
      </c>
      <c r="C193" s="35" t="s">
        <v>219</v>
      </c>
      <c r="D193" s="77" t="s">
        <v>2094</v>
      </c>
      <c r="E193" s="83"/>
      <c r="F193" s="83"/>
      <c r="G193" s="83"/>
      <c r="H193" s="83"/>
      <c r="I193" s="83"/>
      <c r="J193" s="83"/>
      <c r="K193" s="83"/>
      <c r="L193" s="35" t="s">
        <v>219</v>
      </c>
      <c r="M193" s="35" t="s">
        <v>9</v>
      </c>
      <c r="N193" s="35" t="s">
        <v>210</v>
      </c>
    </row>
    <row r="194" spans="1:14" ht="37.5" x14ac:dyDescent="0.3">
      <c r="A194" s="35">
        <v>193</v>
      </c>
      <c r="B194" s="77" t="s">
        <v>65</v>
      </c>
      <c r="C194" s="35" t="s">
        <v>220</v>
      </c>
      <c r="D194" s="77" t="s">
        <v>2095</v>
      </c>
      <c r="E194" s="83"/>
      <c r="F194" s="83"/>
      <c r="G194" s="83"/>
      <c r="H194" s="83"/>
      <c r="I194" s="83"/>
      <c r="J194" s="83"/>
      <c r="K194" s="83"/>
      <c r="L194" s="35" t="s">
        <v>220</v>
      </c>
      <c r="M194" s="35" t="s">
        <v>9</v>
      </c>
      <c r="N194" s="35" t="s">
        <v>210</v>
      </c>
    </row>
    <row r="195" spans="1:14" ht="37.5" x14ac:dyDescent="0.3">
      <c r="A195" s="35">
        <v>194</v>
      </c>
      <c r="B195" s="77" t="s">
        <v>65</v>
      </c>
      <c r="C195" s="35" t="s">
        <v>221</v>
      </c>
      <c r="D195" s="77" t="s">
        <v>2096</v>
      </c>
      <c r="E195" s="83"/>
      <c r="F195" s="83"/>
      <c r="G195" s="83"/>
      <c r="H195" s="83"/>
      <c r="I195" s="83"/>
      <c r="J195" s="83"/>
      <c r="K195" s="83"/>
      <c r="L195" s="35" t="s">
        <v>221</v>
      </c>
      <c r="M195" s="35" t="s">
        <v>9</v>
      </c>
      <c r="N195" s="35" t="s">
        <v>210</v>
      </c>
    </row>
    <row r="196" spans="1:14" ht="37.5" x14ac:dyDescent="0.3">
      <c r="A196" s="35">
        <v>195</v>
      </c>
      <c r="B196" s="77" t="s">
        <v>65</v>
      </c>
      <c r="C196" s="35" t="s">
        <v>222</v>
      </c>
      <c r="D196" s="77" t="s">
        <v>2097</v>
      </c>
      <c r="E196" s="83"/>
      <c r="F196" s="83"/>
      <c r="G196" s="83"/>
      <c r="H196" s="83">
        <v>34755</v>
      </c>
      <c r="I196" s="83">
        <v>32711</v>
      </c>
      <c r="J196" s="83">
        <v>51111</v>
      </c>
      <c r="K196" s="83">
        <v>49067</v>
      </c>
      <c r="L196" s="35" t="s">
        <v>222</v>
      </c>
      <c r="M196" s="35" t="s">
        <v>9</v>
      </c>
      <c r="N196" s="35" t="s">
        <v>210</v>
      </c>
    </row>
    <row r="197" spans="1:14" ht="37.5" x14ac:dyDescent="0.3">
      <c r="A197" s="35">
        <v>196</v>
      </c>
      <c r="B197" s="77" t="s">
        <v>65</v>
      </c>
      <c r="C197" s="35" t="s">
        <v>223</v>
      </c>
      <c r="D197" s="77" t="s">
        <v>2098</v>
      </c>
      <c r="E197" s="83"/>
      <c r="F197" s="83"/>
      <c r="G197" s="83"/>
      <c r="H197" s="83">
        <v>36800</v>
      </c>
      <c r="I197" s="83">
        <v>12267</v>
      </c>
      <c r="J197" s="83">
        <v>34755</v>
      </c>
      <c r="K197" s="83">
        <v>34755</v>
      </c>
      <c r="L197" s="35" t="s">
        <v>223</v>
      </c>
      <c r="M197" s="35" t="s">
        <v>9</v>
      </c>
      <c r="N197" s="35" t="s">
        <v>210</v>
      </c>
    </row>
    <row r="198" spans="1:14" ht="37.5" x14ac:dyDescent="0.3">
      <c r="A198" s="35">
        <v>197</v>
      </c>
      <c r="B198" s="77" t="s">
        <v>65</v>
      </c>
      <c r="C198" s="35" t="s">
        <v>224</v>
      </c>
      <c r="D198" s="77" t="s">
        <v>2099</v>
      </c>
      <c r="E198" s="83"/>
      <c r="F198" s="83"/>
      <c r="G198" s="83"/>
      <c r="H198" s="83">
        <v>475820</v>
      </c>
      <c r="I198" s="83">
        <v>66222</v>
      </c>
      <c r="J198" s="83">
        <v>29432</v>
      </c>
      <c r="K198" s="83">
        <v>34338</v>
      </c>
      <c r="L198" s="35" t="s">
        <v>224</v>
      </c>
      <c r="M198" s="35" t="s">
        <v>9</v>
      </c>
      <c r="N198" s="35" t="s">
        <v>210</v>
      </c>
    </row>
    <row r="199" spans="1:14" ht="37.5" x14ac:dyDescent="0.3">
      <c r="A199" s="35">
        <v>198</v>
      </c>
      <c r="B199" s="77" t="s">
        <v>65</v>
      </c>
      <c r="C199" s="35" t="s">
        <v>225</v>
      </c>
      <c r="D199" s="77" t="s">
        <v>2100</v>
      </c>
      <c r="E199" s="83"/>
      <c r="F199" s="83"/>
      <c r="G199" s="83"/>
      <c r="H199" s="83">
        <v>837955</v>
      </c>
      <c r="I199" s="83">
        <v>152922</v>
      </c>
      <c r="J199" s="83">
        <v>24533</v>
      </c>
      <c r="K199" s="83">
        <v>38844</v>
      </c>
      <c r="L199" s="35" t="s">
        <v>225</v>
      </c>
      <c r="M199" s="35" t="s">
        <v>9</v>
      </c>
      <c r="N199" s="35" t="s">
        <v>210</v>
      </c>
    </row>
    <row r="200" spans="1:14" ht="37.5" x14ac:dyDescent="0.3">
      <c r="A200" s="35">
        <v>199</v>
      </c>
      <c r="B200" s="77" t="s">
        <v>65</v>
      </c>
      <c r="C200" s="35" t="s">
        <v>226</v>
      </c>
      <c r="D200" s="77" t="s">
        <v>2101</v>
      </c>
      <c r="E200" s="83"/>
      <c r="F200" s="83"/>
      <c r="G200" s="83"/>
      <c r="H200" s="83">
        <v>1463886</v>
      </c>
      <c r="I200" s="83">
        <v>197284</v>
      </c>
      <c r="J200" s="83">
        <v>77689</v>
      </c>
      <c r="K200" s="83">
        <v>108559</v>
      </c>
      <c r="L200" s="35" t="s">
        <v>226</v>
      </c>
      <c r="M200" s="35" t="s">
        <v>9</v>
      </c>
      <c r="N200" s="35" t="s">
        <v>210</v>
      </c>
    </row>
    <row r="201" spans="1:14" ht="37.5" x14ac:dyDescent="0.3">
      <c r="A201" s="35">
        <v>200</v>
      </c>
      <c r="B201" s="77" t="s">
        <v>65</v>
      </c>
      <c r="C201" s="35" t="s">
        <v>227</v>
      </c>
      <c r="D201" s="77" t="s">
        <v>2102</v>
      </c>
      <c r="E201" s="83"/>
      <c r="F201" s="83"/>
      <c r="G201" s="83"/>
      <c r="H201" s="83"/>
      <c r="I201" s="83"/>
      <c r="J201" s="83"/>
      <c r="K201" s="83"/>
      <c r="L201" s="35" t="s">
        <v>227</v>
      </c>
      <c r="M201" s="35" t="s">
        <v>9</v>
      </c>
      <c r="N201" s="35" t="s">
        <v>210</v>
      </c>
    </row>
    <row r="202" spans="1:14" ht="37.5" x14ac:dyDescent="0.3">
      <c r="A202" s="35">
        <v>201</v>
      </c>
      <c r="B202" s="77" t="s">
        <v>65</v>
      </c>
      <c r="C202" s="35" t="s">
        <v>228</v>
      </c>
      <c r="D202" s="77" t="s">
        <v>2103</v>
      </c>
      <c r="E202" s="83"/>
      <c r="F202" s="83"/>
      <c r="G202" s="83"/>
      <c r="H202" s="83">
        <v>1041668</v>
      </c>
      <c r="I202" s="83">
        <v>26578</v>
      </c>
      <c r="J202" s="83">
        <v>18400</v>
      </c>
      <c r="K202" s="83">
        <v>44978</v>
      </c>
      <c r="L202" s="35" t="s">
        <v>228</v>
      </c>
      <c r="M202" s="35" t="s">
        <v>9</v>
      </c>
      <c r="N202" s="35" t="s">
        <v>210</v>
      </c>
    </row>
    <row r="203" spans="1:14" ht="37.5" x14ac:dyDescent="0.3">
      <c r="A203" s="35">
        <v>202</v>
      </c>
      <c r="B203" s="77" t="s">
        <v>65</v>
      </c>
      <c r="C203" s="35" t="s">
        <v>229</v>
      </c>
      <c r="D203" s="77" t="s">
        <v>2104</v>
      </c>
      <c r="E203" s="83"/>
      <c r="F203" s="83"/>
      <c r="G203" s="83"/>
      <c r="H203" s="83">
        <v>589021</v>
      </c>
      <c r="I203" s="83">
        <v>61333</v>
      </c>
      <c r="J203" s="83">
        <v>38844</v>
      </c>
      <c r="K203" s="83">
        <v>34755</v>
      </c>
      <c r="L203" s="35" t="s">
        <v>229</v>
      </c>
      <c r="M203" s="35" t="s">
        <v>9</v>
      </c>
      <c r="N203" s="35" t="s">
        <v>210</v>
      </c>
    </row>
    <row r="204" spans="1:14" ht="37.5" x14ac:dyDescent="0.3">
      <c r="A204" s="35">
        <v>203</v>
      </c>
      <c r="B204" s="77" t="s">
        <v>65</v>
      </c>
      <c r="C204" s="35" t="s">
        <v>230</v>
      </c>
      <c r="D204" s="77" t="s">
        <v>2105</v>
      </c>
      <c r="E204" s="83"/>
      <c r="F204" s="83"/>
      <c r="G204" s="83"/>
      <c r="H204" s="83">
        <v>359912</v>
      </c>
      <c r="I204" s="83">
        <v>14311</v>
      </c>
      <c r="J204" s="83">
        <v>36800</v>
      </c>
      <c r="K204" s="83">
        <v>22489</v>
      </c>
      <c r="L204" s="35" t="s">
        <v>230</v>
      </c>
      <c r="M204" s="35" t="s">
        <v>9</v>
      </c>
      <c r="N204" s="35" t="s">
        <v>210</v>
      </c>
    </row>
    <row r="205" spans="1:14" ht="37.5" x14ac:dyDescent="0.3">
      <c r="A205" s="35">
        <v>204</v>
      </c>
      <c r="B205" s="77" t="s">
        <v>65</v>
      </c>
      <c r="C205" s="35" t="s">
        <v>231</v>
      </c>
      <c r="D205" s="77" t="s">
        <v>2106</v>
      </c>
      <c r="E205" s="83"/>
      <c r="F205" s="83"/>
      <c r="G205" s="83"/>
      <c r="H205" s="83">
        <v>271616</v>
      </c>
      <c r="I205" s="83">
        <v>14311</v>
      </c>
      <c r="J205" s="83">
        <v>20444</v>
      </c>
      <c r="K205" s="83">
        <v>24533</v>
      </c>
      <c r="L205" s="35" t="s">
        <v>231</v>
      </c>
      <c r="M205" s="35" t="s">
        <v>9</v>
      </c>
      <c r="N205" s="35" t="s">
        <v>210</v>
      </c>
    </row>
    <row r="206" spans="1:14" ht="37.5" x14ac:dyDescent="0.3">
      <c r="A206" s="35">
        <v>205</v>
      </c>
      <c r="B206" s="77" t="s">
        <v>65</v>
      </c>
      <c r="C206" s="35" t="s">
        <v>232</v>
      </c>
      <c r="D206" s="77" t="s">
        <v>2107</v>
      </c>
      <c r="E206" s="83"/>
      <c r="F206" s="83"/>
      <c r="G206" s="83"/>
      <c r="H206" s="83">
        <v>487091</v>
      </c>
      <c r="I206" s="83">
        <v>32711</v>
      </c>
      <c r="J206" s="83">
        <v>36800</v>
      </c>
      <c r="K206" s="83">
        <v>94044</v>
      </c>
      <c r="L206" s="35" t="s">
        <v>232</v>
      </c>
      <c r="M206" s="35" t="s">
        <v>9</v>
      </c>
      <c r="N206" s="35" t="s">
        <v>210</v>
      </c>
    </row>
    <row r="207" spans="1:14" ht="37.5" x14ac:dyDescent="0.3">
      <c r="A207" s="35">
        <v>206</v>
      </c>
      <c r="B207" s="77" t="s">
        <v>65</v>
      </c>
      <c r="C207" s="35" t="s">
        <v>233</v>
      </c>
      <c r="D207" s="77" t="s">
        <v>2108</v>
      </c>
      <c r="E207" s="83"/>
      <c r="F207" s="83"/>
      <c r="G207" s="83"/>
      <c r="H207" s="83">
        <v>869030</v>
      </c>
      <c r="I207" s="83">
        <v>112784</v>
      </c>
      <c r="J207" s="83">
        <v>163484</v>
      </c>
      <c r="K207" s="83">
        <v>114897</v>
      </c>
      <c r="L207" s="35" t="s">
        <v>233</v>
      </c>
      <c r="M207" s="35" t="s">
        <v>9</v>
      </c>
      <c r="N207" s="35" t="s">
        <v>210</v>
      </c>
    </row>
    <row r="208" spans="1:14" ht="37.5" x14ac:dyDescent="0.3">
      <c r="A208" s="35">
        <v>207</v>
      </c>
      <c r="B208" s="77" t="s">
        <v>65</v>
      </c>
      <c r="C208" s="35" t="s">
        <v>234</v>
      </c>
      <c r="D208" s="77" t="s">
        <v>2109</v>
      </c>
      <c r="E208" s="83"/>
      <c r="F208" s="83"/>
      <c r="G208" s="83"/>
      <c r="H208" s="83">
        <v>496357</v>
      </c>
      <c r="I208" s="83">
        <v>14311</v>
      </c>
      <c r="J208" s="83">
        <v>40889</v>
      </c>
      <c r="K208" s="83">
        <v>34755</v>
      </c>
      <c r="L208" s="35" t="s">
        <v>234</v>
      </c>
      <c r="M208" s="35" t="s">
        <v>9</v>
      </c>
      <c r="N208" s="35" t="s">
        <v>210</v>
      </c>
    </row>
    <row r="209" spans="1:16" ht="37.5" x14ac:dyDescent="0.3">
      <c r="A209" s="35">
        <v>208</v>
      </c>
      <c r="B209" s="77" t="s">
        <v>65</v>
      </c>
      <c r="C209" s="35" t="s">
        <v>779</v>
      </c>
      <c r="D209" s="77" t="s">
        <v>2138</v>
      </c>
      <c r="E209" s="83"/>
      <c r="F209" s="83"/>
      <c r="G209" s="83"/>
      <c r="H209" s="83"/>
      <c r="I209" s="83"/>
      <c r="J209" s="83"/>
      <c r="K209" s="83"/>
      <c r="L209" s="35" t="s">
        <v>779</v>
      </c>
      <c r="M209" s="35" t="s">
        <v>9</v>
      </c>
      <c r="N209" s="35"/>
    </row>
    <row r="210" spans="1:16" ht="37.5" x14ac:dyDescent="0.3">
      <c r="A210" s="35">
        <v>209</v>
      </c>
      <c r="B210" s="77" t="s">
        <v>65</v>
      </c>
      <c r="C210" s="35" t="s">
        <v>780</v>
      </c>
      <c r="D210" s="77" t="s">
        <v>2139</v>
      </c>
      <c r="E210" s="83"/>
      <c r="F210" s="83"/>
      <c r="G210" s="83"/>
      <c r="H210" s="83"/>
      <c r="I210" s="83"/>
      <c r="J210" s="83"/>
      <c r="K210" s="83"/>
      <c r="L210" s="35" t="s">
        <v>780</v>
      </c>
      <c r="M210" s="35" t="s">
        <v>9</v>
      </c>
      <c r="N210" s="35"/>
    </row>
    <row r="211" spans="1:16" s="65" customFormat="1" ht="56.25" customHeight="1" x14ac:dyDescent="0.25">
      <c r="A211" s="35">
        <v>210</v>
      </c>
      <c r="B211" s="77" t="s">
        <v>65</v>
      </c>
      <c r="C211" s="177" t="s">
        <v>18</v>
      </c>
      <c r="D211" s="77" t="s">
        <v>2140</v>
      </c>
      <c r="E211" s="177"/>
      <c r="F211" s="177"/>
      <c r="G211" s="177"/>
      <c r="H211" s="177"/>
      <c r="I211" s="177"/>
      <c r="J211" s="177"/>
      <c r="K211" s="177"/>
      <c r="L211" s="177" t="s">
        <v>18</v>
      </c>
      <c r="M211" s="35" t="s">
        <v>9</v>
      </c>
      <c r="N211" s="174" t="s">
        <v>19</v>
      </c>
    </row>
    <row r="212" spans="1:16" ht="37.5" x14ac:dyDescent="0.3">
      <c r="A212" s="35">
        <v>211</v>
      </c>
      <c r="B212" s="77" t="s">
        <v>68</v>
      </c>
      <c r="C212" s="35" t="s">
        <v>79</v>
      </c>
      <c r="D212" s="77" t="s">
        <v>2141</v>
      </c>
      <c r="E212" s="83">
        <v>733903</v>
      </c>
      <c r="F212" s="83">
        <v>107136</v>
      </c>
      <c r="G212" s="83">
        <v>0</v>
      </c>
      <c r="H212" s="83">
        <v>163484</v>
      </c>
      <c r="I212" s="83">
        <v>59289</v>
      </c>
      <c r="J212" s="83"/>
      <c r="K212" s="83"/>
      <c r="L212" s="35" t="s">
        <v>91</v>
      </c>
      <c r="M212" s="35" t="s">
        <v>9</v>
      </c>
      <c r="N212" s="35"/>
    </row>
    <row r="213" spans="1:16" ht="37.5" x14ac:dyDescent="0.3">
      <c r="A213" s="35">
        <v>212</v>
      </c>
      <c r="B213" s="77" t="s">
        <v>65</v>
      </c>
      <c r="C213" s="35" t="s">
        <v>341</v>
      </c>
      <c r="D213" s="77" t="s">
        <v>2183</v>
      </c>
      <c r="E213" s="83"/>
      <c r="F213" s="83">
        <v>8571</v>
      </c>
      <c r="G213" s="83"/>
      <c r="H213" s="83"/>
      <c r="I213" s="83"/>
      <c r="J213" s="83"/>
      <c r="K213" s="83"/>
      <c r="L213" s="35" t="s">
        <v>341</v>
      </c>
      <c r="M213" s="35" t="s">
        <v>9</v>
      </c>
      <c r="N213" s="35" t="s">
        <v>286</v>
      </c>
    </row>
    <row r="214" spans="1:16" ht="37.5" x14ac:dyDescent="0.3">
      <c r="A214" s="35">
        <v>213</v>
      </c>
      <c r="B214" s="77" t="s">
        <v>65</v>
      </c>
      <c r="C214" s="35" t="s">
        <v>360</v>
      </c>
      <c r="D214" s="77" t="s">
        <v>2202</v>
      </c>
      <c r="E214" s="83">
        <v>14999</v>
      </c>
      <c r="F214" s="83"/>
      <c r="G214" s="83"/>
      <c r="H214" s="83">
        <v>20444</v>
      </c>
      <c r="I214" s="83"/>
      <c r="J214" s="83"/>
      <c r="K214" s="83"/>
      <c r="L214" s="35" t="s">
        <v>360</v>
      </c>
      <c r="M214" s="35" t="s">
        <v>9</v>
      </c>
      <c r="N214" s="35" t="s">
        <v>286</v>
      </c>
    </row>
    <row r="215" spans="1:16" ht="37.5" x14ac:dyDescent="0.3">
      <c r="A215" s="35">
        <v>214</v>
      </c>
      <c r="B215" s="77" t="s">
        <v>65</v>
      </c>
      <c r="C215" s="35" t="s">
        <v>359</v>
      </c>
      <c r="D215" s="77" t="s">
        <v>2201</v>
      </c>
      <c r="E215" s="83">
        <v>47140</v>
      </c>
      <c r="F215" s="83">
        <v>14999</v>
      </c>
      <c r="G215" s="83"/>
      <c r="H215" s="83">
        <v>2044</v>
      </c>
      <c r="I215" s="83"/>
      <c r="J215" s="83"/>
      <c r="K215" s="83"/>
      <c r="L215" s="35" t="s">
        <v>359</v>
      </c>
      <c r="M215" s="35" t="s">
        <v>9</v>
      </c>
      <c r="N215" s="35" t="s">
        <v>286</v>
      </c>
    </row>
    <row r="216" spans="1:16" ht="37.5" x14ac:dyDescent="0.3">
      <c r="A216" s="35">
        <v>215</v>
      </c>
      <c r="B216" s="77" t="s">
        <v>65</v>
      </c>
      <c r="C216" s="35" t="s">
        <v>358</v>
      </c>
      <c r="D216" s="77" t="s">
        <v>2200</v>
      </c>
      <c r="E216" s="83"/>
      <c r="F216" s="83">
        <v>17142</v>
      </c>
      <c r="G216" s="83"/>
      <c r="H216" s="83">
        <v>2044</v>
      </c>
      <c r="I216" s="83"/>
      <c r="J216" s="83"/>
      <c r="K216" s="83"/>
      <c r="L216" s="35" t="s">
        <v>358</v>
      </c>
      <c r="M216" s="35" t="s">
        <v>9</v>
      </c>
      <c r="N216" s="35" t="s">
        <v>286</v>
      </c>
    </row>
    <row r="217" spans="1:16" ht="37.5" x14ac:dyDescent="0.3">
      <c r="A217" s="35">
        <v>216</v>
      </c>
      <c r="B217" s="77" t="s">
        <v>65</v>
      </c>
      <c r="C217" s="35" t="s">
        <v>357</v>
      </c>
      <c r="D217" s="77" t="s">
        <v>2199</v>
      </c>
      <c r="E217" s="83"/>
      <c r="F217" s="83">
        <v>6428</v>
      </c>
      <c r="G217" s="83"/>
      <c r="H217" s="83"/>
      <c r="I217" s="83"/>
      <c r="J217" s="83"/>
      <c r="K217" s="83"/>
      <c r="L217" s="35" t="s">
        <v>357</v>
      </c>
      <c r="M217" s="35" t="s">
        <v>9</v>
      </c>
      <c r="N217" s="35" t="s">
        <v>286</v>
      </c>
    </row>
    <row r="218" spans="1:16" ht="37.5" x14ac:dyDescent="0.3">
      <c r="A218" s="35">
        <v>217</v>
      </c>
      <c r="B218" s="77" t="s">
        <v>65</v>
      </c>
      <c r="C218" s="35" t="s">
        <v>356</v>
      </c>
      <c r="D218" s="77" t="s">
        <v>2198</v>
      </c>
      <c r="E218" s="83"/>
      <c r="F218" s="83">
        <v>10714</v>
      </c>
      <c r="G218" s="83"/>
      <c r="H218" s="83"/>
      <c r="I218" s="83"/>
      <c r="J218" s="83"/>
      <c r="K218" s="83"/>
      <c r="L218" s="35" t="s">
        <v>356</v>
      </c>
      <c r="M218" s="35" t="s">
        <v>9</v>
      </c>
      <c r="N218" s="35" t="s">
        <v>286</v>
      </c>
    </row>
    <row r="219" spans="1:16" ht="37.5" x14ac:dyDescent="0.3">
      <c r="A219" s="35">
        <v>218</v>
      </c>
      <c r="B219" s="77" t="s">
        <v>65</v>
      </c>
      <c r="C219" s="35" t="s">
        <v>355</v>
      </c>
      <c r="D219" s="77" t="s">
        <v>2197</v>
      </c>
      <c r="E219" s="83"/>
      <c r="F219" s="83">
        <v>14999</v>
      </c>
      <c r="G219" s="83"/>
      <c r="H219" s="83"/>
      <c r="I219" s="83"/>
      <c r="J219" s="83"/>
      <c r="K219" s="83"/>
      <c r="L219" s="35" t="s">
        <v>355</v>
      </c>
      <c r="M219" s="35" t="s">
        <v>9</v>
      </c>
      <c r="N219" s="35" t="s">
        <v>286</v>
      </c>
      <c r="P219" s="187"/>
    </row>
    <row r="220" spans="1:16" ht="37.5" x14ac:dyDescent="0.3">
      <c r="A220" s="35">
        <v>219</v>
      </c>
      <c r="B220" s="77" t="s">
        <v>65</v>
      </c>
      <c r="C220" s="35" t="s">
        <v>354</v>
      </c>
      <c r="D220" s="77" t="s">
        <v>2196</v>
      </c>
      <c r="E220" s="83"/>
      <c r="F220" s="83">
        <v>6428</v>
      </c>
      <c r="G220" s="83"/>
      <c r="H220" s="83">
        <v>2044</v>
      </c>
      <c r="I220" s="83"/>
      <c r="J220" s="83"/>
      <c r="K220" s="83"/>
      <c r="L220" s="35" t="s">
        <v>354</v>
      </c>
      <c r="M220" s="35" t="s">
        <v>9</v>
      </c>
      <c r="N220" s="35" t="s">
        <v>286</v>
      </c>
      <c r="P220" s="187"/>
    </row>
    <row r="221" spans="1:16" ht="37.5" x14ac:dyDescent="0.3">
      <c r="A221" s="35">
        <v>220</v>
      </c>
      <c r="B221" s="77" t="s">
        <v>65</v>
      </c>
      <c r="C221" s="35" t="s">
        <v>353</v>
      </c>
      <c r="D221" s="77" t="s">
        <v>2195</v>
      </c>
      <c r="E221" s="83"/>
      <c r="F221" s="83">
        <v>14999</v>
      </c>
      <c r="G221" s="83"/>
      <c r="H221" s="83"/>
      <c r="I221" s="83"/>
      <c r="J221" s="83"/>
      <c r="K221" s="83"/>
      <c r="L221" s="35" t="s">
        <v>353</v>
      </c>
      <c r="M221" s="35" t="s">
        <v>9</v>
      </c>
      <c r="N221" s="35" t="s">
        <v>286</v>
      </c>
    </row>
    <row r="222" spans="1:16" ht="37.5" x14ac:dyDescent="0.3">
      <c r="A222" s="35">
        <v>221</v>
      </c>
      <c r="B222" s="77" t="s">
        <v>65</v>
      </c>
      <c r="C222" s="35" t="s">
        <v>352</v>
      </c>
      <c r="D222" s="77" t="s">
        <v>2194</v>
      </c>
      <c r="E222" s="83">
        <v>10714</v>
      </c>
      <c r="F222" s="83">
        <v>17142</v>
      </c>
      <c r="G222" s="83">
        <v>10615</v>
      </c>
      <c r="H222" s="83">
        <v>6133</v>
      </c>
      <c r="I222" s="83"/>
      <c r="J222" s="83"/>
      <c r="K222" s="83"/>
      <c r="L222" s="35" t="s">
        <v>352</v>
      </c>
      <c r="M222" s="35" t="s">
        <v>9</v>
      </c>
      <c r="N222" s="35" t="s">
        <v>286</v>
      </c>
    </row>
    <row r="223" spans="1:16" ht="37.5" x14ac:dyDescent="0.3">
      <c r="A223" s="35">
        <v>222</v>
      </c>
      <c r="B223" s="77" t="s">
        <v>65</v>
      </c>
      <c r="C223" s="35" t="s">
        <v>351</v>
      </c>
      <c r="D223" s="77" t="s">
        <v>2193</v>
      </c>
      <c r="E223" s="83">
        <v>2143</v>
      </c>
      <c r="F223" s="83">
        <v>14999</v>
      </c>
      <c r="G223" s="83"/>
      <c r="H223" s="83">
        <v>2044</v>
      </c>
      <c r="I223" s="83"/>
      <c r="J223" s="83"/>
      <c r="K223" s="83"/>
      <c r="L223" s="35" t="s">
        <v>351</v>
      </c>
      <c r="M223" s="35" t="s">
        <v>9</v>
      </c>
      <c r="N223" s="35" t="s">
        <v>286</v>
      </c>
    </row>
    <row r="224" spans="1:16" ht="37.5" x14ac:dyDescent="0.3">
      <c r="A224" s="35">
        <v>223</v>
      </c>
      <c r="B224" s="77" t="s">
        <v>65</v>
      </c>
      <c r="C224" s="35" t="s">
        <v>350</v>
      </c>
      <c r="D224" s="77" t="s">
        <v>2192</v>
      </c>
      <c r="E224" s="83">
        <v>89994</v>
      </c>
      <c r="F224" s="83"/>
      <c r="G224" s="83"/>
      <c r="H224" s="83">
        <v>2044</v>
      </c>
      <c r="I224" s="83"/>
      <c r="J224" s="83"/>
      <c r="K224" s="83"/>
      <c r="L224" s="35" t="s">
        <v>350</v>
      </c>
      <c r="M224" s="35" t="s">
        <v>9</v>
      </c>
      <c r="N224" s="35" t="s">
        <v>286</v>
      </c>
    </row>
    <row r="225" spans="1:16" ht="37.5" x14ac:dyDescent="0.3">
      <c r="A225" s="35">
        <v>224</v>
      </c>
      <c r="B225" s="77" t="s">
        <v>65</v>
      </c>
      <c r="C225" s="35" t="s">
        <v>349</v>
      </c>
      <c r="D225" s="77" t="s">
        <v>2191</v>
      </c>
      <c r="E225" s="83">
        <v>87852</v>
      </c>
      <c r="F225" s="83"/>
      <c r="G225" s="83"/>
      <c r="H225" s="83">
        <v>2044</v>
      </c>
      <c r="I225" s="83"/>
      <c r="J225" s="83"/>
      <c r="K225" s="83"/>
      <c r="L225" s="35" t="s">
        <v>349</v>
      </c>
      <c r="M225" s="35" t="s">
        <v>9</v>
      </c>
      <c r="N225" s="35" t="s">
        <v>286</v>
      </c>
    </row>
    <row r="226" spans="1:16" ht="37.5" x14ac:dyDescent="0.3">
      <c r="A226" s="35">
        <v>225</v>
      </c>
      <c r="B226" s="77" t="s">
        <v>65</v>
      </c>
      <c r="C226" s="35" t="s">
        <v>348</v>
      </c>
      <c r="D226" s="77" t="s">
        <v>2190</v>
      </c>
      <c r="E226" s="83"/>
      <c r="F226" s="83">
        <v>8571</v>
      </c>
      <c r="G226" s="83"/>
      <c r="H226" s="83"/>
      <c r="I226" s="83"/>
      <c r="J226" s="83"/>
      <c r="K226" s="83"/>
      <c r="L226" s="35" t="s">
        <v>348</v>
      </c>
      <c r="M226" s="35" t="s">
        <v>9</v>
      </c>
      <c r="N226" s="35" t="s">
        <v>286</v>
      </c>
      <c r="P226" s="187"/>
    </row>
    <row r="227" spans="1:16" ht="37.5" x14ac:dyDescent="0.3">
      <c r="A227" s="35">
        <v>226</v>
      </c>
      <c r="B227" s="77" t="s">
        <v>65</v>
      </c>
      <c r="C227" s="35" t="s">
        <v>347</v>
      </c>
      <c r="D227" s="77" t="s">
        <v>2189</v>
      </c>
      <c r="E227" s="83"/>
      <c r="F227" s="83">
        <v>6428</v>
      </c>
      <c r="G227" s="83"/>
      <c r="H227" s="83">
        <v>2044</v>
      </c>
      <c r="I227" s="83"/>
      <c r="J227" s="83"/>
      <c r="K227" s="83"/>
      <c r="L227" s="35" t="s">
        <v>347</v>
      </c>
      <c r="M227" s="35" t="s">
        <v>9</v>
      </c>
      <c r="N227" s="35" t="s">
        <v>286</v>
      </c>
    </row>
    <row r="228" spans="1:16" ht="37.5" x14ac:dyDescent="0.3">
      <c r="A228" s="35">
        <v>227</v>
      </c>
      <c r="B228" s="77" t="s">
        <v>65</v>
      </c>
      <c r="C228" s="35" t="s">
        <v>346</v>
      </c>
      <c r="D228" s="77" t="s">
        <v>2188</v>
      </c>
      <c r="E228" s="83">
        <v>12856</v>
      </c>
      <c r="F228" s="83">
        <v>19284</v>
      </c>
      <c r="G228" s="83"/>
      <c r="H228" s="83"/>
      <c r="I228" s="83"/>
      <c r="J228" s="83"/>
      <c r="K228" s="83"/>
      <c r="L228" s="35" t="s">
        <v>346</v>
      </c>
      <c r="M228" s="35" t="s">
        <v>9</v>
      </c>
      <c r="N228" s="35" t="s">
        <v>286</v>
      </c>
    </row>
    <row r="229" spans="1:16" ht="37.5" x14ac:dyDescent="0.3">
      <c r="A229" s="35">
        <v>228</v>
      </c>
      <c r="B229" s="77" t="s">
        <v>65</v>
      </c>
      <c r="C229" s="35" t="s">
        <v>345</v>
      </c>
      <c r="D229" s="77" t="s">
        <v>2187</v>
      </c>
      <c r="E229" s="83"/>
      <c r="F229" s="83">
        <v>8571</v>
      </c>
      <c r="G229" s="83"/>
      <c r="H229" s="83"/>
      <c r="I229" s="83"/>
      <c r="J229" s="83"/>
      <c r="K229" s="83"/>
      <c r="L229" s="35" t="s">
        <v>345</v>
      </c>
      <c r="M229" s="35" t="s">
        <v>9</v>
      </c>
      <c r="N229" s="35" t="s">
        <v>286</v>
      </c>
    </row>
    <row r="230" spans="1:16" ht="37.5" x14ac:dyDescent="0.3">
      <c r="A230" s="35">
        <v>229</v>
      </c>
      <c r="B230" s="77" t="s">
        <v>65</v>
      </c>
      <c r="C230" s="35" t="s">
        <v>344</v>
      </c>
      <c r="D230" s="77" t="s">
        <v>2186</v>
      </c>
      <c r="E230" s="83"/>
      <c r="F230" s="83">
        <v>6428</v>
      </c>
      <c r="G230" s="83"/>
      <c r="H230" s="83">
        <v>2044</v>
      </c>
      <c r="I230" s="83"/>
      <c r="J230" s="83"/>
      <c r="K230" s="83"/>
      <c r="L230" s="35" t="s">
        <v>344</v>
      </c>
      <c r="M230" s="35" t="s">
        <v>9</v>
      </c>
      <c r="N230" s="35" t="s">
        <v>286</v>
      </c>
    </row>
    <row r="231" spans="1:16" ht="37.5" x14ac:dyDescent="0.3">
      <c r="A231" s="35">
        <v>230</v>
      </c>
      <c r="B231" s="77" t="s">
        <v>65</v>
      </c>
      <c r="C231" s="35" t="s">
        <v>343</v>
      </c>
      <c r="D231" s="77" t="s">
        <v>2185</v>
      </c>
      <c r="E231" s="83"/>
      <c r="F231" s="83">
        <v>10714</v>
      </c>
      <c r="G231" s="83"/>
      <c r="H231" s="83"/>
      <c r="I231" s="83"/>
      <c r="J231" s="83"/>
      <c r="K231" s="83"/>
      <c r="L231" s="35" t="s">
        <v>343</v>
      </c>
      <c r="M231" s="35" t="s">
        <v>9</v>
      </c>
      <c r="N231" s="35" t="s">
        <v>286</v>
      </c>
    </row>
    <row r="232" spans="1:16" ht="37.5" x14ac:dyDescent="0.3">
      <c r="A232" s="35">
        <v>231</v>
      </c>
      <c r="B232" s="77" t="s">
        <v>65</v>
      </c>
      <c r="C232" s="35" t="s">
        <v>342</v>
      </c>
      <c r="D232" s="77" t="s">
        <v>2184</v>
      </c>
      <c r="E232" s="83"/>
      <c r="F232" s="83">
        <v>8571</v>
      </c>
      <c r="G232" s="83"/>
      <c r="H232" s="83"/>
      <c r="I232" s="83"/>
      <c r="J232" s="83"/>
      <c r="K232" s="83"/>
      <c r="L232" s="35" t="s">
        <v>342</v>
      </c>
      <c r="M232" s="35" t="s">
        <v>9</v>
      </c>
      <c r="N232" s="35" t="s">
        <v>286</v>
      </c>
    </row>
    <row r="233" spans="1:16" ht="37.5" x14ac:dyDescent="0.3">
      <c r="A233" s="35">
        <v>232</v>
      </c>
      <c r="B233" s="77" t="s">
        <v>65</v>
      </c>
      <c r="C233" s="188" t="s">
        <v>286</v>
      </c>
      <c r="D233" s="77" t="s">
        <v>2149</v>
      </c>
      <c r="E233" s="83"/>
      <c r="F233" s="83">
        <v>10714</v>
      </c>
      <c r="G233" s="83"/>
      <c r="H233" s="83"/>
      <c r="I233" s="83"/>
      <c r="J233" s="83"/>
      <c r="K233" s="83"/>
      <c r="L233" s="188" t="s">
        <v>286</v>
      </c>
      <c r="M233" s="35" t="s">
        <v>9</v>
      </c>
      <c r="N233" s="35" t="s">
        <v>286</v>
      </c>
    </row>
    <row r="234" spans="1:16" ht="37.5" x14ac:dyDescent="0.3">
      <c r="A234" s="35">
        <v>233</v>
      </c>
      <c r="B234" s="77" t="s">
        <v>65</v>
      </c>
      <c r="C234" s="35" t="s">
        <v>287</v>
      </c>
      <c r="D234" s="77" t="s">
        <v>2150</v>
      </c>
      <c r="E234" s="83"/>
      <c r="F234" s="83">
        <v>14999</v>
      </c>
      <c r="G234" s="83"/>
      <c r="H234" s="83"/>
      <c r="I234" s="83">
        <v>14311</v>
      </c>
      <c r="J234" s="83"/>
      <c r="K234" s="83"/>
      <c r="L234" s="35" t="s">
        <v>287</v>
      </c>
      <c r="M234" s="35" t="s">
        <v>9</v>
      </c>
      <c r="N234" s="35" t="s">
        <v>286</v>
      </c>
    </row>
    <row r="235" spans="1:16" ht="37.5" x14ac:dyDescent="0.3">
      <c r="A235" s="35">
        <v>234</v>
      </c>
      <c r="B235" s="77" t="s">
        <v>65</v>
      </c>
      <c r="C235" s="35" t="s">
        <v>288</v>
      </c>
      <c r="D235" s="77" t="s">
        <v>2151</v>
      </c>
      <c r="E235" s="83">
        <v>32141</v>
      </c>
      <c r="F235" s="83"/>
      <c r="G235" s="83"/>
      <c r="H235" s="83"/>
      <c r="I235" s="83">
        <v>2044</v>
      </c>
      <c r="J235" s="83"/>
      <c r="K235" s="83"/>
      <c r="L235" s="35" t="s">
        <v>288</v>
      </c>
      <c r="M235" s="35" t="s">
        <v>9</v>
      </c>
      <c r="N235" s="35" t="s">
        <v>286</v>
      </c>
    </row>
    <row r="236" spans="1:16" ht="37.5" x14ac:dyDescent="0.3">
      <c r="A236" s="35">
        <v>235</v>
      </c>
      <c r="B236" s="77" t="s">
        <v>65</v>
      </c>
      <c r="C236" s="35" t="s">
        <v>289</v>
      </c>
      <c r="D236" s="77" t="s">
        <v>2152</v>
      </c>
      <c r="E236" s="83"/>
      <c r="F236" s="83">
        <v>6428</v>
      </c>
      <c r="G236" s="83"/>
      <c r="H236" s="83"/>
      <c r="I236" s="83">
        <v>2044</v>
      </c>
      <c r="J236" s="83"/>
      <c r="K236" s="83"/>
      <c r="L236" s="35" t="s">
        <v>289</v>
      </c>
      <c r="M236" s="35" t="s">
        <v>9</v>
      </c>
      <c r="N236" s="35" t="s">
        <v>286</v>
      </c>
    </row>
    <row r="237" spans="1:16" ht="37.5" x14ac:dyDescent="0.3">
      <c r="A237" s="35">
        <v>236</v>
      </c>
      <c r="B237" s="77" t="s">
        <v>65</v>
      </c>
      <c r="C237" s="35" t="s">
        <v>610</v>
      </c>
      <c r="D237" s="77" t="s">
        <v>2204</v>
      </c>
      <c r="E237" s="83">
        <v>36426</v>
      </c>
      <c r="F237" s="83">
        <v>19284</v>
      </c>
      <c r="G237" s="83"/>
      <c r="H237" s="83"/>
      <c r="I237" s="83"/>
      <c r="J237" s="83"/>
      <c r="K237" s="83"/>
      <c r="L237" s="35" t="s">
        <v>610</v>
      </c>
      <c r="M237" s="35" t="s">
        <v>9</v>
      </c>
      <c r="N237" s="35" t="s">
        <v>286</v>
      </c>
    </row>
    <row r="238" spans="1:16" ht="37.5" x14ac:dyDescent="0.3">
      <c r="A238" s="35">
        <v>237</v>
      </c>
      <c r="B238" s="77" t="s">
        <v>65</v>
      </c>
      <c r="C238" s="35" t="s">
        <v>291</v>
      </c>
      <c r="D238" s="77" t="s">
        <v>2153</v>
      </c>
      <c r="E238" s="83">
        <v>12856</v>
      </c>
      <c r="F238" s="83">
        <v>19284</v>
      </c>
      <c r="G238" s="83"/>
      <c r="H238" s="83"/>
      <c r="I238" s="83"/>
      <c r="J238" s="83"/>
      <c r="K238" s="83"/>
      <c r="L238" s="35" t="s">
        <v>291</v>
      </c>
      <c r="M238" s="35" t="s">
        <v>9</v>
      </c>
      <c r="N238" s="35" t="s">
        <v>286</v>
      </c>
    </row>
    <row r="239" spans="1:16" ht="37.5" x14ac:dyDescent="0.3">
      <c r="A239" s="35">
        <v>238</v>
      </c>
      <c r="B239" s="77" t="s">
        <v>65</v>
      </c>
      <c r="C239" s="35" t="s">
        <v>292</v>
      </c>
      <c r="D239" s="77" t="s">
        <v>2154</v>
      </c>
      <c r="E239" s="83">
        <v>40712</v>
      </c>
      <c r="F239" s="83"/>
      <c r="G239" s="83"/>
      <c r="H239" s="83"/>
      <c r="I239" s="83"/>
      <c r="J239" s="83"/>
      <c r="K239" s="83"/>
      <c r="L239" s="35" t="s">
        <v>292</v>
      </c>
      <c r="M239" s="35" t="s">
        <v>9</v>
      </c>
      <c r="N239" s="35" t="s">
        <v>286</v>
      </c>
    </row>
    <row r="240" spans="1:16" ht="37.5" x14ac:dyDescent="0.3">
      <c r="A240" s="35">
        <v>239</v>
      </c>
      <c r="B240" s="77" t="s">
        <v>65</v>
      </c>
      <c r="C240" s="35" t="s">
        <v>293</v>
      </c>
      <c r="D240" s="77" t="s">
        <v>2155</v>
      </c>
      <c r="E240" s="83"/>
      <c r="F240" s="83"/>
      <c r="G240" s="83"/>
      <c r="H240" s="83"/>
      <c r="I240" s="83"/>
      <c r="J240" s="83"/>
      <c r="K240" s="83"/>
      <c r="L240" s="35" t="s">
        <v>293</v>
      </c>
      <c r="M240" s="35" t="s">
        <v>9</v>
      </c>
      <c r="N240" s="35" t="s">
        <v>286</v>
      </c>
    </row>
    <row r="241" spans="1:14" ht="37.5" x14ac:dyDescent="0.3">
      <c r="A241" s="35">
        <v>240</v>
      </c>
      <c r="B241" s="77" t="s">
        <v>65</v>
      </c>
      <c r="C241" s="35" t="s">
        <v>294</v>
      </c>
      <c r="D241" s="77" t="s">
        <v>2156</v>
      </c>
      <c r="E241" s="83"/>
      <c r="F241" s="83">
        <v>6428</v>
      </c>
      <c r="G241" s="83"/>
      <c r="H241" s="83"/>
      <c r="I241" s="83">
        <v>4089</v>
      </c>
      <c r="J241" s="83"/>
      <c r="K241" s="83"/>
      <c r="L241" s="35" t="s">
        <v>294</v>
      </c>
      <c r="M241" s="35" t="s">
        <v>9</v>
      </c>
      <c r="N241" s="35" t="s">
        <v>286</v>
      </c>
    </row>
    <row r="242" spans="1:14" ht="37.5" x14ac:dyDescent="0.3">
      <c r="A242" s="35">
        <v>241</v>
      </c>
      <c r="B242" s="77" t="s">
        <v>65</v>
      </c>
      <c r="C242" s="35" t="s">
        <v>295</v>
      </c>
      <c r="D242" s="77" t="s">
        <v>2157</v>
      </c>
      <c r="E242" s="83"/>
      <c r="F242" s="83">
        <v>6428</v>
      </c>
      <c r="G242" s="83"/>
      <c r="H242" s="83"/>
      <c r="I242" s="83"/>
      <c r="J242" s="83"/>
      <c r="K242" s="83"/>
      <c r="L242" s="35" t="s">
        <v>295</v>
      </c>
      <c r="M242" s="35" t="s">
        <v>9</v>
      </c>
      <c r="N242" s="35" t="s">
        <v>286</v>
      </c>
    </row>
    <row r="243" spans="1:14" ht="37.5" x14ac:dyDescent="0.3">
      <c r="A243" s="35">
        <v>242</v>
      </c>
      <c r="B243" s="77" t="s">
        <v>65</v>
      </c>
      <c r="C243" s="35" t="s">
        <v>622</v>
      </c>
      <c r="D243" s="77" t="s">
        <v>2205</v>
      </c>
      <c r="E243" s="83"/>
      <c r="F243" s="83">
        <v>10714</v>
      </c>
      <c r="G243" s="83"/>
      <c r="H243" s="83"/>
      <c r="I243" s="83"/>
      <c r="J243" s="83"/>
      <c r="K243" s="83"/>
      <c r="L243" s="35" t="s">
        <v>622</v>
      </c>
      <c r="M243" s="35" t="s">
        <v>9</v>
      </c>
      <c r="N243" s="35" t="s">
        <v>286</v>
      </c>
    </row>
    <row r="244" spans="1:14" ht="37.5" x14ac:dyDescent="0.3">
      <c r="A244" s="35">
        <v>243</v>
      </c>
      <c r="B244" s="77" t="s">
        <v>65</v>
      </c>
      <c r="C244" s="35" t="s">
        <v>297</v>
      </c>
      <c r="D244" s="77" t="s">
        <v>2158</v>
      </c>
      <c r="E244" s="83"/>
      <c r="F244" s="83">
        <v>6428</v>
      </c>
      <c r="G244" s="83"/>
      <c r="H244" s="83"/>
      <c r="I244" s="83"/>
      <c r="J244" s="83"/>
      <c r="K244" s="83"/>
      <c r="L244" s="35" t="s">
        <v>297</v>
      </c>
      <c r="M244" s="35" t="s">
        <v>9</v>
      </c>
      <c r="N244" s="35" t="s">
        <v>286</v>
      </c>
    </row>
    <row r="245" spans="1:14" ht="37.5" x14ac:dyDescent="0.3">
      <c r="A245" s="35">
        <v>244</v>
      </c>
      <c r="B245" s="77" t="s">
        <v>65</v>
      </c>
      <c r="C245" s="35" t="s">
        <v>298</v>
      </c>
      <c r="D245" s="77" t="s">
        <v>2159</v>
      </c>
      <c r="E245" s="83">
        <v>32141</v>
      </c>
      <c r="F245" s="83"/>
      <c r="G245" s="83"/>
      <c r="H245" s="83"/>
      <c r="I245" s="83"/>
      <c r="J245" s="83"/>
      <c r="K245" s="83"/>
      <c r="L245" s="35" t="s">
        <v>298</v>
      </c>
      <c r="M245" s="35" t="s">
        <v>9</v>
      </c>
      <c r="N245" s="35" t="s">
        <v>286</v>
      </c>
    </row>
    <row r="246" spans="1:14" ht="37.5" x14ac:dyDescent="0.3">
      <c r="A246" s="35">
        <v>245</v>
      </c>
      <c r="B246" s="77" t="s">
        <v>65</v>
      </c>
      <c r="C246" s="35" t="s">
        <v>633</v>
      </c>
      <c r="D246" s="77" t="s">
        <v>2206</v>
      </c>
      <c r="E246" s="83"/>
      <c r="F246" s="83">
        <v>17142</v>
      </c>
      <c r="G246" s="83"/>
      <c r="H246" s="83"/>
      <c r="I246" s="83"/>
      <c r="J246" s="83"/>
      <c r="K246" s="83"/>
      <c r="L246" s="35" t="s">
        <v>633</v>
      </c>
      <c r="M246" s="35" t="s">
        <v>9</v>
      </c>
      <c r="N246" s="35" t="s">
        <v>286</v>
      </c>
    </row>
    <row r="247" spans="1:14" ht="37.5" x14ac:dyDescent="0.3">
      <c r="A247" s="35">
        <v>246</v>
      </c>
      <c r="B247" s="77" t="s">
        <v>65</v>
      </c>
      <c r="C247" s="35" t="s">
        <v>634</v>
      </c>
      <c r="D247" s="77" t="s">
        <v>2207</v>
      </c>
      <c r="E247" s="83">
        <v>27855</v>
      </c>
      <c r="F247" s="83"/>
      <c r="G247" s="83"/>
      <c r="H247" s="83">
        <v>2044</v>
      </c>
      <c r="I247" s="83"/>
      <c r="J247" s="83"/>
      <c r="K247" s="83"/>
      <c r="L247" s="35" t="s">
        <v>634</v>
      </c>
      <c r="M247" s="35" t="s">
        <v>9</v>
      </c>
      <c r="N247" s="35" t="s">
        <v>286</v>
      </c>
    </row>
    <row r="248" spans="1:14" ht="37.5" x14ac:dyDescent="0.3">
      <c r="A248" s="35">
        <v>247</v>
      </c>
      <c r="B248" s="77" t="s">
        <v>65</v>
      </c>
      <c r="C248" s="35" t="s">
        <v>635</v>
      </c>
      <c r="D248" s="77" t="s">
        <v>2208</v>
      </c>
      <c r="E248" s="83"/>
      <c r="F248" s="83">
        <v>32141</v>
      </c>
      <c r="G248" s="83"/>
      <c r="H248" s="83"/>
      <c r="I248" s="83"/>
      <c r="J248" s="83"/>
      <c r="K248" s="83">
        <v>4089</v>
      </c>
      <c r="L248" s="35" t="s">
        <v>635</v>
      </c>
      <c r="M248" s="35" t="s">
        <v>9</v>
      </c>
      <c r="N248" s="35" t="s">
        <v>286</v>
      </c>
    </row>
    <row r="249" spans="1:14" ht="37.5" x14ac:dyDescent="0.3">
      <c r="A249" s="35">
        <v>248</v>
      </c>
      <c r="B249" s="77" t="s">
        <v>65</v>
      </c>
      <c r="C249" s="35" t="s">
        <v>636</v>
      </c>
      <c r="D249" s="77" t="s">
        <v>2209</v>
      </c>
      <c r="E249" s="83">
        <v>193482</v>
      </c>
      <c r="F249" s="83"/>
      <c r="G249" s="83"/>
      <c r="H249" s="83"/>
      <c r="I249" s="83"/>
      <c r="J249" s="83"/>
      <c r="K249" s="83"/>
      <c r="L249" s="35" t="s">
        <v>636</v>
      </c>
      <c r="M249" s="35" t="s">
        <v>9</v>
      </c>
      <c r="N249" s="35" t="s">
        <v>286</v>
      </c>
    </row>
    <row r="250" spans="1:14" ht="37.5" x14ac:dyDescent="0.3">
      <c r="A250" s="35">
        <v>249</v>
      </c>
      <c r="B250" s="77" t="s">
        <v>65</v>
      </c>
      <c r="C250" s="35" t="s">
        <v>637</v>
      </c>
      <c r="D250" s="77" t="s">
        <v>2210</v>
      </c>
      <c r="E250" s="83">
        <v>102851</v>
      </c>
      <c r="F250" s="83"/>
      <c r="G250" s="83"/>
      <c r="H250" s="83"/>
      <c r="I250" s="83">
        <v>69511</v>
      </c>
      <c r="J250" s="83">
        <v>59289</v>
      </c>
      <c r="K250" s="83"/>
      <c r="L250" s="35" t="s">
        <v>637</v>
      </c>
      <c r="M250" s="35" t="s">
        <v>9</v>
      </c>
      <c r="N250" s="35" t="s">
        <v>286</v>
      </c>
    </row>
    <row r="251" spans="1:14" ht="37.5" x14ac:dyDescent="0.3">
      <c r="A251" s="35">
        <v>250</v>
      </c>
      <c r="B251" s="77" t="s">
        <v>65</v>
      </c>
      <c r="C251" s="35" t="s">
        <v>638</v>
      </c>
      <c r="D251" s="77" t="s">
        <v>2211</v>
      </c>
      <c r="E251" s="83">
        <v>25713</v>
      </c>
      <c r="F251" s="83">
        <v>8571</v>
      </c>
      <c r="G251" s="83"/>
      <c r="H251" s="83">
        <v>2044</v>
      </c>
      <c r="I251" s="83">
        <v>8178</v>
      </c>
      <c r="J251" s="83"/>
      <c r="K251" s="83"/>
      <c r="L251" s="35" t="s">
        <v>638</v>
      </c>
      <c r="M251" s="35" t="s">
        <v>9</v>
      </c>
      <c r="N251" s="35" t="s">
        <v>286</v>
      </c>
    </row>
    <row r="252" spans="1:14" ht="37.5" x14ac:dyDescent="0.3">
      <c r="A252" s="35">
        <v>251</v>
      </c>
      <c r="B252" s="77" t="s">
        <v>65</v>
      </c>
      <c r="C252" s="35" t="s">
        <v>639</v>
      </c>
      <c r="D252" s="77" t="s">
        <v>2212</v>
      </c>
      <c r="E252" s="83"/>
      <c r="F252" s="83">
        <v>17142</v>
      </c>
      <c r="G252" s="83"/>
      <c r="H252" s="83">
        <v>2044</v>
      </c>
      <c r="I252" s="83"/>
      <c r="J252" s="83"/>
      <c r="K252" s="83"/>
      <c r="L252" s="35" t="s">
        <v>639</v>
      </c>
      <c r="M252" s="35" t="s">
        <v>9</v>
      </c>
      <c r="N252" s="35" t="s">
        <v>286</v>
      </c>
    </row>
    <row r="253" spans="1:14" ht="37.5" x14ac:dyDescent="0.3">
      <c r="A253" s="35">
        <v>252</v>
      </c>
      <c r="B253" s="77" t="s">
        <v>65</v>
      </c>
      <c r="C253" s="35" t="s">
        <v>640</v>
      </c>
      <c r="D253" s="77" t="s">
        <v>2213</v>
      </c>
      <c r="E253" s="83"/>
      <c r="F253" s="83">
        <v>44997</v>
      </c>
      <c r="G253" s="83"/>
      <c r="H253" s="83"/>
      <c r="I253" s="83"/>
      <c r="J253" s="83"/>
      <c r="K253" s="83"/>
      <c r="L253" s="35" t="s">
        <v>640</v>
      </c>
      <c r="M253" s="35" t="s">
        <v>9</v>
      </c>
      <c r="N253" s="35" t="s">
        <v>286</v>
      </c>
    </row>
    <row r="254" spans="1:14" ht="37.5" x14ac:dyDescent="0.3">
      <c r="A254" s="35">
        <v>253</v>
      </c>
      <c r="B254" s="77" t="s">
        <v>65</v>
      </c>
      <c r="C254" s="35" t="s">
        <v>340</v>
      </c>
      <c r="D254" s="77" t="s">
        <v>2182</v>
      </c>
      <c r="E254" s="83"/>
      <c r="F254" s="83">
        <v>14999</v>
      </c>
      <c r="G254" s="83"/>
      <c r="H254" s="83"/>
      <c r="I254" s="83"/>
      <c r="J254" s="83"/>
      <c r="K254" s="83"/>
      <c r="L254" s="35" t="s">
        <v>340</v>
      </c>
      <c r="M254" s="35" t="s">
        <v>9</v>
      </c>
      <c r="N254" s="35" t="s">
        <v>286</v>
      </c>
    </row>
    <row r="255" spans="1:14" ht="37.5" x14ac:dyDescent="0.3">
      <c r="A255" s="35">
        <v>254</v>
      </c>
      <c r="B255" s="77" t="s">
        <v>65</v>
      </c>
      <c r="C255" s="35" t="s">
        <v>339</v>
      </c>
      <c r="D255" s="77" t="s">
        <v>2181</v>
      </c>
      <c r="E255" s="83">
        <v>2296447</v>
      </c>
      <c r="F255" s="83">
        <v>2143238</v>
      </c>
      <c r="G255" s="83">
        <v>1539653</v>
      </c>
      <c r="H255" s="83">
        <v>355007</v>
      </c>
      <c r="I255" s="83"/>
      <c r="J255" s="83"/>
      <c r="K255" s="83"/>
      <c r="L255" s="35" t="s">
        <v>339</v>
      </c>
      <c r="M255" s="35" t="s">
        <v>9</v>
      </c>
      <c r="N255" s="35" t="s">
        <v>286</v>
      </c>
    </row>
    <row r="256" spans="1:14" ht="37.5" x14ac:dyDescent="0.3">
      <c r="A256" s="35">
        <v>255</v>
      </c>
      <c r="B256" s="77" t="s">
        <v>65</v>
      </c>
      <c r="C256" s="35" t="s">
        <v>338</v>
      </c>
      <c r="D256" s="77" t="s">
        <v>2180</v>
      </c>
      <c r="E256" s="83">
        <v>659433</v>
      </c>
      <c r="F256" s="83">
        <v>297518</v>
      </c>
      <c r="G256" s="83">
        <v>101475</v>
      </c>
      <c r="H256" s="83"/>
      <c r="I256" s="83"/>
      <c r="J256" s="83"/>
      <c r="K256" s="83"/>
      <c r="L256" s="35" t="s">
        <v>338</v>
      </c>
      <c r="M256" s="35" t="s">
        <v>9</v>
      </c>
      <c r="N256" s="35" t="s">
        <v>286</v>
      </c>
    </row>
    <row r="257" spans="1:14" ht="37.5" x14ac:dyDescent="0.3">
      <c r="A257" s="35">
        <v>256</v>
      </c>
      <c r="B257" s="77" t="s">
        <v>65</v>
      </c>
      <c r="C257" s="35" t="s">
        <v>337</v>
      </c>
      <c r="D257" s="77" t="s">
        <v>2179</v>
      </c>
      <c r="E257" s="83">
        <v>405475</v>
      </c>
      <c r="F257" s="83">
        <v>338645</v>
      </c>
      <c r="G257" s="83">
        <v>127599</v>
      </c>
      <c r="H257" s="83"/>
      <c r="I257" s="83"/>
      <c r="J257" s="83"/>
      <c r="K257" s="83"/>
      <c r="L257" s="35" t="s">
        <v>337</v>
      </c>
      <c r="M257" s="35" t="s">
        <v>9</v>
      </c>
      <c r="N257" s="35" t="s">
        <v>286</v>
      </c>
    </row>
    <row r="258" spans="1:14" ht="37.5" x14ac:dyDescent="0.3">
      <c r="A258" s="35">
        <v>257</v>
      </c>
      <c r="B258" s="77" t="s">
        <v>65</v>
      </c>
      <c r="C258" s="35" t="s">
        <v>299</v>
      </c>
      <c r="D258" s="77" t="s">
        <v>2160</v>
      </c>
      <c r="E258" s="83">
        <v>1339826</v>
      </c>
      <c r="F258" s="83">
        <v>118206</v>
      </c>
      <c r="G258" s="83">
        <v>42265</v>
      </c>
      <c r="H258" s="83"/>
      <c r="I258" s="83"/>
      <c r="J258" s="83"/>
      <c r="K258" s="83"/>
      <c r="L258" s="35" t="s">
        <v>299</v>
      </c>
      <c r="M258" s="35" t="s">
        <v>9</v>
      </c>
      <c r="N258" s="35" t="s">
        <v>286</v>
      </c>
    </row>
    <row r="259" spans="1:14" ht="37.5" x14ac:dyDescent="0.3">
      <c r="A259" s="35">
        <v>258</v>
      </c>
      <c r="B259" s="77" t="s">
        <v>65</v>
      </c>
      <c r="C259" s="35" t="s">
        <v>336</v>
      </c>
      <c r="D259" s="77" t="s">
        <v>2178</v>
      </c>
      <c r="E259" s="83">
        <v>171342</v>
      </c>
      <c r="F259" s="83">
        <v>177984</v>
      </c>
      <c r="G259" s="83">
        <v>182137</v>
      </c>
      <c r="H259" s="83">
        <v>34755</v>
      </c>
      <c r="I259" s="83"/>
      <c r="J259" s="83"/>
      <c r="K259" s="83"/>
      <c r="L259" s="35" t="s">
        <v>336</v>
      </c>
      <c r="M259" s="35" t="s">
        <v>9</v>
      </c>
      <c r="N259" s="35" t="s">
        <v>286</v>
      </c>
    </row>
    <row r="260" spans="1:14" ht="37.5" x14ac:dyDescent="0.3">
      <c r="A260" s="35">
        <v>259</v>
      </c>
      <c r="B260" s="77" t="s">
        <v>65</v>
      </c>
      <c r="C260" s="35" t="s">
        <v>335</v>
      </c>
      <c r="D260" s="77" t="s">
        <v>2177</v>
      </c>
      <c r="E260" s="83">
        <v>256392</v>
      </c>
      <c r="F260" s="83">
        <v>120420</v>
      </c>
      <c r="G260" s="83">
        <v>4187</v>
      </c>
      <c r="H260" s="83"/>
      <c r="I260" s="83"/>
      <c r="J260" s="83"/>
      <c r="K260" s="83"/>
      <c r="L260" s="35" t="s">
        <v>335</v>
      </c>
      <c r="M260" s="35" t="s">
        <v>9</v>
      </c>
      <c r="N260" s="35" t="s">
        <v>286</v>
      </c>
    </row>
    <row r="261" spans="1:14" ht="37.5" x14ac:dyDescent="0.3">
      <c r="A261" s="35">
        <v>260</v>
      </c>
      <c r="B261" s="77" t="s">
        <v>65</v>
      </c>
      <c r="C261" s="35" t="s">
        <v>334</v>
      </c>
      <c r="D261" s="77" t="s">
        <v>2176</v>
      </c>
      <c r="E261" s="83">
        <v>374630</v>
      </c>
      <c r="F261" s="83">
        <v>193482</v>
      </c>
      <c r="G261" s="83">
        <v>2143</v>
      </c>
      <c r="H261" s="83"/>
      <c r="I261" s="83"/>
      <c r="J261" s="83"/>
      <c r="K261" s="83"/>
      <c r="L261" s="35" t="s">
        <v>334</v>
      </c>
      <c r="M261" s="35" t="s">
        <v>9</v>
      </c>
      <c r="N261" s="35" t="s">
        <v>286</v>
      </c>
    </row>
    <row r="262" spans="1:14" ht="37.5" x14ac:dyDescent="0.3">
      <c r="A262" s="35">
        <v>261</v>
      </c>
      <c r="B262" s="77" t="s">
        <v>65</v>
      </c>
      <c r="C262" s="35" t="s">
        <v>333</v>
      </c>
      <c r="D262" s="77" t="s">
        <v>2175</v>
      </c>
      <c r="E262" s="83">
        <v>410616</v>
      </c>
      <c r="F262" s="83">
        <v>276955</v>
      </c>
      <c r="G262" s="83"/>
      <c r="H262" s="83">
        <v>2044</v>
      </c>
      <c r="I262" s="83"/>
      <c r="J262" s="83"/>
      <c r="K262" s="83"/>
      <c r="L262" s="35" t="s">
        <v>333</v>
      </c>
      <c r="M262" s="35" t="s">
        <v>9</v>
      </c>
      <c r="N262" s="35" t="s">
        <v>286</v>
      </c>
    </row>
    <row r="263" spans="1:14" ht="37.5" x14ac:dyDescent="0.3">
      <c r="A263" s="35">
        <v>262</v>
      </c>
      <c r="B263" s="77" t="s">
        <v>65</v>
      </c>
      <c r="C263" s="35" t="s">
        <v>332</v>
      </c>
      <c r="D263" s="77" t="s">
        <v>2174</v>
      </c>
      <c r="E263" s="83">
        <v>120420</v>
      </c>
      <c r="F263" s="83">
        <v>51425</v>
      </c>
      <c r="G263" s="83"/>
      <c r="H263" s="83"/>
      <c r="I263" s="83"/>
      <c r="J263" s="83"/>
      <c r="K263" s="83"/>
      <c r="L263" s="35" t="s">
        <v>332</v>
      </c>
      <c r="M263" s="35" t="s">
        <v>9</v>
      </c>
      <c r="N263" s="35" t="s">
        <v>286</v>
      </c>
    </row>
    <row r="264" spans="1:14" ht="37.5" x14ac:dyDescent="0.3">
      <c r="A264" s="35">
        <v>263</v>
      </c>
      <c r="B264" s="77" t="s">
        <v>65</v>
      </c>
      <c r="C264" s="35" t="s">
        <v>331</v>
      </c>
      <c r="D264" s="77" t="s">
        <v>2173</v>
      </c>
      <c r="E264" s="83">
        <v>107136</v>
      </c>
      <c r="F264" s="83">
        <v>77138</v>
      </c>
      <c r="G264" s="83"/>
      <c r="H264" s="83"/>
      <c r="I264" s="83"/>
      <c r="J264" s="83"/>
      <c r="K264" s="83"/>
      <c r="L264" s="35" t="s">
        <v>331</v>
      </c>
      <c r="M264" s="35" t="s">
        <v>9</v>
      </c>
      <c r="N264" s="35" t="s">
        <v>286</v>
      </c>
    </row>
    <row r="265" spans="1:14" ht="37.5" x14ac:dyDescent="0.3">
      <c r="A265" s="35">
        <v>264</v>
      </c>
      <c r="B265" s="77" t="s">
        <v>65</v>
      </c>
      <c r="C265" s="35" t="s">
        <v>330</v>
      </c>
      <c r="D265" s="77" t="s">
        <v>2171</v>
      </c>
      <c r="E265" s="83">
        <v>96422</v>
      </c>
      <c r="F265" s="83">
        <v>55711</v>
      </c>
      <c r="G265" s="83"/>
      <c r="H265" s="83">
        <v>2044</v>
      </c>
      <c r="I265" s="83"/>
      <c r="J265" s="83"/>
      <c r="K265" s="83"/>
      <c r="L265" s="35" t="s">
        <v>330</v>
      </c>
      <c r="M265" s="35" t="s">
        <v>9</v>
      </c>
      <c r="N265" s="35" t="s">
        <v>286</v>
      </c>
    </row>
    <row r="266" spans="1:14" ht="37.5" x14ac:dyDescent="0.3">
      <c r="A266" s="35">
        <v>265</v>
      </c>
      <c r="B266" s="77" t="s">
        <v>65</v>
      </c>
      <c r="C266" s="35" t="s">
        <v>329</v>
      </c>
      <c r="D266" s="77" t="s">
        <v>2170</v>
      </c>
      <c r="E266" s="83">
        <v>155844</v>
      </c>
      <c r="F266" s="83">
        <v>72852</v>
      </c>
      <c r="G266" s="83"/>
      <c r="H266" s="83"/>
      <c r="I266" s="83"/>
      <c r="J266" s="83"/>
      <c r="K266" s="83"/>
      <c r="L266" s="35" t="s">
        <v>329</v>
      </c>
      <c r="M266" s="35" t="s">
        <v>9</v>
      </c>
      <c r="N266" s="35" t="s">
        <v>286</v>
      </c>
    </row>
    <row r="267" spans="1:14" ht="37.5" x14ac:dyDescent="0.3">
      <c r="A267" s="35">
        <v>266</v>
      </c>
      <c r="B267" s="77" t="s">
        <v>65</v>
      </c>
      <c r="C267" s="35" t="s">
        <v>328</v>
      </c>
      <c r="D267" s="77" t="s">
        <v>2169</v>
      </c>
      <c r="E267" s="83">
        <v>271814</v>
      </c>
      <c r="F267" s="83">
        <v>87852</v>
      </c>
      <c r="G267" s="83"/>
      <c r="H267" s="83"/>
      <c r="I267" s="83"/>
      <c r="J267" s="83"/>
      <c r="K267" s="83"/>
      <c r="L267" s="35" t="s">
        <v>328</v>
      </c>
      <c r="M267" s="35" t="s">
        <v>9</v>
      </c>
      <c r="N267" s="35" t="s">
        <v>286</v>
      </c>
    </row>
    <row r="268" spans="1:14" ht="37.5" x14ac:dyDescent="0.3">
      <c r="A268" s="35">
        <v>267</v>
      </c>
      <c r="B268" s="77" t="s">
        <v>65</v>
      </c>
      <c r="C268" s="35" t="s">
        <v>327</v>
      </c>
      <c r="D268" s="77" t="s">
        <v>2168</v>
      </c>
      <c r="E268" s="83">
        <v>164700</v>
      </c>
      <c r="F268" s="83">
        <v>23570</v>
      </c>
      <c r="G268" s="83"/>
      <c r="H268" s="83"/>
      <c r="I268" s="83"/>
      <c r="J268" s="83"/>
      <c r="K268" s="83"/>
      <c r="L268" s="35" t="s">
        <v>327</v>
      </c>
      <c r="M268" s="35" t="s">
        <v>9</v>
      </c>
      <c r="N268" s="35" t="s">
        <v>286</v>
      </c>
    </row>
    <row r="269" spans="1:14" ht="37.5" x14ac:dyDescent="0.3">
      <c r="A269" s="35">
        <v>268</v>
      </c>
      <c r="B269" s="77" t="s">
        <v>65</v>
      </c>
      <c r="C269" s="35" t="s">
        <v>326</v>
      </c>
      <c r="D269" s="77" t="s">
        <v>2167</v>
      </c>
      <c r="E269" s="83">
        <v>400334</v>
      </c>
      <c r="F269" s="83">
        <v>220406</v>
      </c>
      <c r="G269" s="83"/>
      <c r="H269" s="83">
        <v>2044</v>
      </c>
      <c r="I269" s="83"/>
      <c r="J269" s="83"/>
      <c r="K269" s="83"/>
      <c r="L269" s="35" t="s">
        <v>326</v>
      </c>
      <c r="M269" s="35" t="s">
        <v>9</v>
      </c>
      <c r="N269" s="35" t="s">
        <v>286</v>
      </c>
    </row>
    <row r="270" spans="1:14" ht="37.5" x14ac:dyDescent="0.3">
      <c r="A270" s="35">
        <v>269</v>
      </c>
      <c r="B270" s="77" t="s">
        <v>65</v>
      </c>
      <c r="C270" s="35" t="s">
        <v>325</v>
      </c>
      <c r="D270" s="77" t="s">
        <v>2166</v>
      </c>
      <c r="E270" s="83">
        <v>122634</v>
      </c>
      <c r="F270" s="83">
        <v>55711</v>
      </c>
      <c r="G270" s="83"/>
      <c r="H270" s="83">
        <v>2044</v>
      </c>
      <c r="I270" s="83"/>
      <c r="J270" s="83"/>
      <c r="K270" s="83"/>
      <c r="L270" s="35" t="s">
        <v>325</v>
      </c>
      <c r="M270" s="35" t="s">
        <v>9</v>
      </c>
      <c r="N270" s="35" t="s">
        <v>286</v>
      </c>
    </row>
    <row r="271" spans="1:14" ht="37.5" x14ac:dyDescent="0.3">
      <c r="A271" s="35">
        <v>270</v>
      </c>
      <c r="B271" s="77" t="s">
        <v>65</v>
      </c>
      <c r="C271" s="35" t="s">
        <v>324</v>
      </c>
      <c r="D271" s="77" t="s">
        <v>2172</v>
      </c>
      <c r="E271" s="83">
        <v>271814</v>
      </c>
      <c r="F271" s="83">
        <v>92137</v>
      </c>
      <c r="G271" s="83"/>
      <c r="H271" s="83">
        <v>6133</v>
      </c>
      <c r="I271" s="83"/>
      <c r="J271" s="83"/>
      <c r="K271" s="83"/>
      <c r="L271" s="35" t="s">
        <v>324</v>
      </c>
      <c r="M271" s="35" t="s">
        <v>9</v>
      </c>
      <c r="N271" s="35" t="s">
        <v>286</v>
      </c>
    </row>
    <row r="272" spans="1:14" ht="37.5" x14ac:dyDescent="0.3">
      <c r="A272" s="35">
        <v>271</v>
      </c>
      <c r="B272" s="77" t="s">
        <v>65</v>
      </c>
      <c r="C272" s="35" t="s">
        <v>323</v>
      </c>
      <c r="D272" s="77" t="s">
        <v>2165</v>
      </c>
      <c r="E272" s="83">
        <v>211194</v>
      </c>
      <c r="F272" s="83">
        <v>23570</v>
      </c>
      <c r="G272" s="83"/>
      <c r="H272" s="83">
        <v>4089</v>
      </c>
      <c r="I272" s="83"/>
      <c r="J272" s="83"/>
      <c r="K272" s="83"/>
      <c r="L272" s="35" t="s">
        <v>323</v>
      </c>
      <c r="M272" s="35" t="s">
        <v>9</v>
      </c>
      <c r="N272" s="35" t="s">
        <v>286</v>
      </c>
    </row>
    <row r="273" spans="1:14" ht="37.5" x14ac:dyDescent="0.3">
      <c r="A273" s="35">
        <v>272</v>
      </c>
      <c r="B273" s="77" t="s">
        <v>65</v>
      </c>
      <c r="C273" s="35" t="s">
        <v>322</v>
      </c>
      <c r="D273" s="77" t="s">
        <v>2164</v>
      </c>
      <c r="E273" s="83">
        <v>158058</v>
      </c>
      <c r="F273" s="83">
        <v>21427</v>
      </c>
      <c r="G273" s="83"/>
      <c r="H273" s="83"/>
      <c r="I273" s="83"/>
      <c r="J273" s="83"/>
      <c r="K273" s="83"/>
      <c r="L273" s="35" t="s">
        <v>322</v>
      </c>
      <c r="M273" s="35" t="s">
        <v>9</v>
      </c>
      <c r="N273" s="35" t="s">
        <v>286</v>
      </c>
    </row>
    <row r="274" spans="1:14" ht="37.5" x14ac:dyDescent="0.3">
      <c r="A274" s="35">
        <v>273</v>
      </c>
      <c r="B274" s="77" t="s">
        <v>65</v>
      </c>
      <c r="C274" s="35" t="s">
        <v>604</v>
      </c>
      <c r="D274" s="77" t="s">
        <v>2223</v>
      </c>
      <c r="E274" s="83">
        <v>111564</v>
      </c>
      <c r="F274" s="83">
        <v>29998</v>
      </c>
      <c r="G274" s="83"/>
      <c r="H274" s="83">
        <v>8178</v>
      </c>
      <c r="I274" s="83"/>
      <c r="J274" s="83"/>
      <c r="K274" s="83"/>
      <c r="L274" s="35" t="s">
        <v>604</v>
      </c>
      <c r="M274" s="35" t="s">
        <v>9</v>
      </c>
      <c r="N274" s="35" t="s">
        <v>286</v>
      </c>
    </row>
    <row r="275" spans="1:14" ht="37.5" x14ac:dyDescent="0.3">
      <c r="A275" s="35">
        <v>274</v>
      </c>
      <c r="B275" s="77" t="s">
        <v>65</v>
      </c>
      <c r="C275" s="35" t="s">
        <v>605</v>
      </c>
      <c r="D275" s="77" t="s">
        <v>2222</v>
      </c>
      <c r="E275" s="83">
        <v>140346</v>
      </c>
      <c r="F275" s="83">
        <v>193482</v>
      </c>
      <c r="G275" s="83">
        <v>80342</v>
      </c>
      <c r="H275" s="83">
        <v>4089</v>
      </c>
      <c r="I275" s="83"/>
      <c r="J275" s="83"/>
      <c r="K275" s="83"/>
      <c r="L275" s="35" t="s">
        <v>605</v>
      </c>
      <c r="M275" s="35" t="s">
        <v>9</v>
      </c>
      <c r="N275" s="35" t="s">
        <v>286</v>
      </c>
    </row>
    <row r="276" spans="1:14" ht="37.5" x14ac:dyDescent="0.3">
      <c r="A276" s="35">
        <v>275</v>
      </c>
      <c r="B276" s="77" t="s">
        <v>65</v>
      </c>
      <c r="C276" s="35" t="s">
        <v>606</v>
      </c>
      <c r="D276" s="77" t="s">
        <v>2221</v>
      </c>
      <c r="E276" s="83">
        <v>333504</v>
      </c>
      <c r="F276" s="83">
        <v>200124</v>
      </c>
      <c r="G276" s="83">
        <v>52880</v>
      </c>
      <c r="H276" s="83"/>
      <c r="I276" s="83"/>
      <c r="J276" s="83"/>
      <c r="K276" s="83"/>
      <c r="L276" s="35" t="s">
        <v>606</v>
      </c>
      <c r="M276" s="35" t="s">
        <v>9</v>
      </c>
      <c r="N276" s="35" t="s">
        <v>286</v>
      </c>
    </row>
    <row r="277" spans="1:14" ht="37.5" x14ac:dyDescent="0.3">
      <c r="A277" s="35">
        <v>276</v>
      </c>
      <c r="B277" s="77" t="s">
        <v>65</v>
      </c>
      <c r="C277" s="35" t="s">
        <v>607</v>
      </c>
      <c r="D277" s="77" t="s">
        <v>2220</v>
      </c>
      <c r="E277" s="83"/>
      <c r="F277" s="83">
        <v>6428</v>
      </c>
      <c r="G277" s="83"/>
      <c r="H277" s="83"/>
      <c r="I277" s="83"/>
      <c r="J277" s="83"/>
      <c r="K277" s="83"/>
      <c r="L277" s="35" t="s">
        <v>607</v>
      </c>
      <c r="M277" s="35" t="s">
        <v>9</v>
      </c>
      <c r="N277" s="35" t="s">
        <v>286</v>
      </c>
    </row>
    <row r="278" spans="1:14" ht="37.5" x14ac:dyDescent="0.3">
      <c r="A278" s="35">
        <v>277</v>
      </c>
      <c r="B278" s="77" t="s">
        <v>65</v>
      </c>
      <c r="C278" s="35" t="s">
        <v>608</v>
      </c>
      <c r="D278" s="77" t="s">
        <v>2219</v>
      </c>
      <c r="E278" s="83"/>
      <c r="F278" s="83">
        <v>2143</v>
      </c>
      <c r="G278" s="83">
        <v>10615</v>
      </c>
      <c r="H278" s="83">
        <v>65422</v>
      </c>
      <c r="I278" s="83"/>
      <c r="J278" s="83"/>
      <c r="K278" s="83"/>
      <c r="L278" s="35" t="s">
        <v>608</v>
      </c>
      <c r="M278" s="35" t="s">
        <v>9</v>
      </c>
      <c r="N278" s="35" t="s">
        <v>286</v>
      </c>
    </row>
    <row r="279" spans="1:14" ht="37.5" x14ac:dyDescent="0.3">
      <c r="A279" s="35">
        <v>278</v>
      </c>
      <c r="B279" s="77" t="s">
        <v>65</v>
      </c>
      <c r="C279" s="35" t="s">
        <v>609</v>
      </c>
      <c r="D279" s="77" t="s">
        <v>2218</v>
      </c>
      <c r="E279" s="83">
        <v>921672</v>
      </c>
      <c r="F279" s="83">
        <v>4285</v>
      </c>
      <c r="G279" s="83">
        <v>6330</v>
      </c>
      <c r="H279" s="83">
        <v>4089</v>
      </c>
      <c r="I279" s="83"/>
      <c r="J279" s="83">
        <v>22489</v>
      </c>
      <c r="K279" s="83"/>
      <c r="L279" s="35" t="s">
        <v>609</v>
      </c>
      <c r="M279" s="35" t="s">
        <v>9</v>
      </c>
      <c r="N279" s="35" t="s">
        <v>286</v>
      </c>
    </row>
    <row r="280" spans="1:14" ht="37.5" x14ac:dyDescent="0.3">
      <c r="A280" s="35">
        <v>279</v>
      </c>
      <c r="B280" s="77" t="s">
        <v>65</v>
      </c>
      <c r="C280" s="35" t="s">
        <v>614</v>
      </c>
      <c r="D280" s="77" t="s">
        <v>2217</v>
      </c>
      <c r="E280" s="83">
        <v>217836</v>
      </c>
      <c r="F280" s="83">
        <v>204552</v>
      </c>
      <c r="G280" s="83">
        <v>367179</v>
      </c>
      <c r="H280" s="83">
        <v>184609</v>
      </c>
      <c r="I280" s="83">
        <v>16356</v>
      </c>
      <c r="J280" s="83">
        <v>20444</v>
      </c>
      <c r="K280" s="83"/>
      <c r="L280" s="35" t="s">
        <v>614</v>
      </c>
      <c r="M280" s="35" t="s">
        <v>9</v>
      </c>
      <c r="N280" s="35" t="s">
        <v>286</v>
      </c>
    </row>
    <row r="281" spans="1:14" ht="37.5" x14ac:dyDescent="0.3">
      <c r="A281" s="35">
        <v>280</v>
      </c>
      <c r="B281" s="77" t="s">
        <v>65</v>
      </c>
      <c r="C281" s="35" t="s">
        <v>616</v>
      </c>
      <c r="D281" s="77" t="s">
        <v>2216</v>
      </c>
      <c r="E281" s="83">
        <v>575249</v>
      </c>
      <c r="F281" s="83">
        <v>513730</v>
      </c>
      <c r="G281" s="83">
        <v>420334</v>
      </c>
      <c r="H281" s="83">
        <v>542689</v>
      </c>
      <c r="I281" s="83">
        <v>551956</v>
      </c>
      <c r="J281" s="83">
        <v>155034</v>
      </c>
      <c r="K281" s="83">
        <v>98133</v>
      </c>
      <c r="L281" s="35" t="s">
        <v>616</v>
      </c>
      <c r="M281" s="35" t="s">
        <v>9</v>
      </c>
      <c r="N281" s="35" t="s">
        <v>286</v>
      </c>
    </row>
    <row r="282" spans="1:14" ht="37.5" x14ac:dyDescent="0.3">
      <c r="A282" s="35">
        <v>281</v>
      </c>
      <c r="B282" s="77" t="s">
        <v>65</v>
      </c>
      <c r="C282" s="35" t="s">
        <v>618</v>
      </c>
      <c r="D282" s="77" t="s">
        <v>2215</v>
      </c>
      <c r="E282" s="83">
        <v>1351037</v>
      </c>
      <c r="F282" s="83">
        <v>1073628</v>
      </c>
      <c r="G282" s="83">
        <v>1027193</v>
      </c>
      <c r="H282" s="83">
        <v>666241</v>
      </c>
      <c r="I282" s="83">
        <v>283879</v>
      </c>
      <c r="J282" s="83">
        <v>65422</v>
      </c>
      <c r="K282" s="83">
        <v>4089</v>
      </c>
      <c r="L282" s="35" t="s">
        <v>618</v>
      </c>
      <c r="M282" s="35" t="s">
        <v>9</v>
      </c>
      <c r="N282" s="35" t="s">
        <v>286</v>
      </c>
    </row>
    <row r="283" spans="1:14" ht="37.5" x14ac:dyDescent="0.3">
      <c r="A283" s="35">
        <v>282</v>
      </c>
      <c r="B283" s="77" t="s">
        <v>65</v>
      </c>
      <c r="C283" s="35" t="s">
        <v>612</v>
      </c>
      <c r="D283" s="77" t="s">
        <v>2203</v>
      </c>
      <c r="E283" s="83">
        <v>169128</v>
      </c>
      <c r="F283" s="83">
        <v>282096</v>
      </c>
      <c r="G283" s="83">
        <v>397553</v>
      </c>
      <c r="H283" s="83">
        <v>347649</v>
      </c>
      <c r="I283" s="83">
        <v>288784</v>
      </c>
      <c r="J283" s="83">
        <v>34755</v>
      </c>
      <c r="K283" s="83">
        <v>47022</v>
      </c>
      <c r="L283" s="35" t="s">
        <v>612</v>
      </c>
      <c r="M283" s="35" t="s">
        <v>9</v>
      </c>
      <c r="N283" s="35" t="s">
        <v>286</v>
      </c>
    </row>
    <row r="284" spans="1:14" ht="37.5" x14ac:dyDescent="0.3">
      <c r="A284" s="35">
        <v>283</v>
      </c>
      <c r="B284" s="77" t="s">
        <v>65</v>
      </c>
      <c r="C284" s="35" t="s">
        <v>621</v>
      </c>
      <c r="D284" s="77" t="s">
        <v>2214</v>
      </c>
      <c r="E284" s="83">
        <v>180198</v>
      </c>
      <c r="F284" s="83">
        <v>348926</v>
      </c>
      <c r="G284" s="83">
        <v>195319</v>
      </c>
      <c r="H284" s="83">
        <v>197284</v>
      </c>
      <c r="I284" s="83">
        <v>142359</v>
      </c>
      <c r="J284" s="83">
        <v>59289</v>
      </c>
      <c r="K284" s="83">
        <v>104334</v>
      </c>
      <c r="L284" s="35" t="s">
        <v>621</v>
      </c>
      <c r="M284" s="35" t="s">
        <v>9</v>
      </c>
      <c r="N284" s="35" t="s">
        <v>286</v>
      </c>
    </row>
    <row r="285" spans="1:14" ht="37.5" x14ac:dyDescent="0.3">
      <c r="A285" s="35">
        <v>284</v>
      </c>
      <c r="B285" s="77" t="s">
        <v>65</v>
      </c>
      <c r="C285" s="35" t="s">
        <v>310</v>
      </c>
      <c r="D285" s="77" t="s">
        <v>2163</v>
      </c>
      <c r="E285" s="83">
        <v>1127898</v>
      </c>
      <c r="F285" s="83">
        <v>730665</v>
      </c>
      <c r="G285" s="83"/>
      <c r="H285" s="83">
        <v>102222</v>
      </c>
      <c r="I285" s="83">
        <v>1446055</v>
      </c>
      <c r="J285" s="83">
        <v>1093459</v>
      </c>
      <c r="K285" s="83">
        <v>900104</v>
      </c>
      <c r="L285" s="35" t="s">
        <v>310</v>
      </c>
      <c r="M285" s="35" t="s">
        <v>9</v>
      </c>
      <c r="N285" s="35" t="s">
        <v>286</v>
      </c>
    </row>
    <row r="286" spans="1:14" ht="37.5" x14ac:dyDescent="0.3">
      <c r="A286" s="35">
        <v>285</v>
      </c>
      <c r="B286" s="77" t="s">
        <v>65</v>
      </c>
      <c r="C286" s="35" t="s">
        <v>309</v>
      </c>
      <c r="D286" s="77" t="s">
        <v>2162</v>
      </c>
      <c r="E286" s="83">
        <v>979560</v>
      </c>
      <c r="F286" s="83">
        <v>1102572</v>
      </c>
      <c r="G286" s="83">
        <v>1775566</v>
      </c>
      <c r="H286" s="83">
        <v>1770576</v>
      </c>
      <c r="I286" s="83">
        <v>1253483</v>
      </c>
      <c r="J286" s="83">
        <v>98133</v>
      </c>
      <c r="K286" s="83">
        <v>81778</v>
      </c>
      <c r="L286" s="35" t="s">
        <v>309</v>
      </c>
      <c r="M286" s="35" t="s">
        <v>9</v>
      </c>
      <c r="N286" s="35" t="s">
        <v>286</v>
      </c>
    </row>
    <row r="287" spans="1:14" ht="37.5" x14ac:dyDescent="0.3">
      <c r="A287" s="35">
        <v>286</v>
      </c>
      <c r="B287" s="77" t="s">
        <v>65</v>
      </c>
      <c r="C287" s="35" t="s">
        <v>308</v>
      </c>
      <c r="D287" s="77" t="s">
        <v>2161</v>
      </c>
      <c r="E287" s="83">
        <v>446602</v>
      </c>
      <c r="F287" s="83">
        <v>433750</v>
      </c>
      <c r="G287" s="83">
        <v>433068</v>
      </c>
      <c r="H287" s="83">
        <v>493268</v>
      </c>
      <c r="I287" s="83">
        <v>700218</v>
      </c>
      <c r="J287" s="83">
        <v>530334</v>
      </c>
      <c r="K287" s="83">
        <v>426135</v>
      </c>
      <c r="L287" s="35" t="s">
        <v>308</v>
      </c>
      <c r="M287" s="35" t="s">
        <v>9</v>
      </c>
      <c r="N287" s="35" t="s">
        <v>286</v>
      </c>
    </row>
    <row r="288" spans="1:14" ht="37.5" x14ac:dyDescent="0.3">
      <c r="A288" s="35">
        <v>287</v>
      </c>
      <c r="B288" s="77" t="s">
        <v>65</v>
      </c>
      <c r="C288" s="35" t="s">
        <v>179</v>
      </c>
      <c r="D288" s="77" t="s">
        <v>2148</v>
      </c>
      <c r="E288" s="83">
        <v>1164197</v>
      </c>
      <c r="F288" s="83">
        <v>972324</v>
      </c>
      <c r="G288" s="83">
        <v>1130793</v>
      </c>
      <c r="H288" s="83">
        <v>1524511</v>
      </c>
      <c r="I288" s="83">
        <v>1492415</v>
      </c>
      <c r="J288" s="83">
        <v>900104</v>
      </c>
      <c r="K288" s="83">
        <v>761994</v>
      </c>
      <c r="L288" s="35" t="s">
        <v>179</v>
      </c>
      <c r="M288" s="35" t="s">
        <v>9</v>
      </c>
      <c r="N288" s="35" t="s">
        <v>286</v>
      </c>
    </row>
    <row r="289" spans="1:14" ht="37.5" x14ac:dyDescent="0.3">
      <c r="A289" s="35">
        <v>288</v>
      </c>
      <c r="B289" s="77" t="s">
        <v>65</v>
      </c>
      <c r="C289" s="35" t="s">
        <v>181</v>
      </c>
      <c r="D289" s="77" t="s">
        <v>2144</v>
      </c>
      <c r="E289" s="83">
        <v>753330</v>
      </c>
      <c r="F289" s="83">
        <v>766282</v>
      </c>
      <c r="G289" s="83">
        <v>991509</v>
      </c>
      <c r="H289" s="83">
        <v>920821</v>
      </c>
      <c r="I289" s="83">
        <v>1090006</v>
      </c>
      <c r="J289" s="83">
        <v>576666</v>
      </c>
      <c r="K289" s="83">
        <v>530334</v>
      </c>
      <c r="L289" s="35" t="s">
        <v>181</v>
      </c>
      <c r="M289" s="35" t="s">
        <v>9</v>
      </c>
      <c r="N289" s="35" t="s">
        <v>286</v>
      </c>
    </row>
    <row r="290" spans="1:14" ht="37.5" x14ac:dyDescent="0.3">
      <c r="A290" s="35">
        <v>289</v>
      </c>
      <c r="B290" s="77" t="s">
        <v>65</v>
      </c>
      <c r="C290" s="35" t="s">
        <v>183</v>
      </c>
      <c r="D290" s="77" t="s">
        <v>2146</v>
      </c>
      <c r="E290" s="83">
        <v>4508633</v>
      </c>
      <c r="F290" s="83">
        <v>2442182</v>
      </c>
      <c r="G290" s="83">
        <v>25418</v>
      </c>
      <c r="H290" s="83">
        <v>57244</v>
      </c>
      <c r="I290" s="83">
        <v>8178</v>
      </c>
      <c r="J290" s="83"/>
      <c r="K290" s="83"/>
      <c r="L290" s="35" t="s">
        <v>183</v>
      </c>
      <c r="M290" s="35" t="s">
        <v>9</v>
      </c>
      <c r="N290" s="35" t="s">
        <v>286</v>
      </c>
    </row>
    <row r="291" spans="1:14" ht="37.5" x14ac:dyDescent="0.3">
      <c r="A291" s="35">
        <v>290</v>
      </c>
      <c r="B291" s="77" t="s">
        <v>65</v>
      </c>
      <c r="C291" s="35" t="s">
        <v>180</v>
      </c>
      <c r="D291" s="77" t="s">
        <v>2143</v>
      </c>
      <c r="E291" s="83">
        <v>3297910</v>
      </c>
      <c r="F291" s="83">
        <v>2875651</v>
      </c>
      <c r="G291" s="83">
        <v>3423733</v>
      </c>
      <c r="H291" s="83">
        <v>2159287</v>
      </c>
      <c r="I291" s="83">
        <v>1207122</v>
      </c>
      <c r="J291" s="83">
        <v>136022</v>
      </c>
      <c r="K291" s="83"/>
      <c r="L291" s="35" t="s">
        <v>180</v>
      </c>
      <c r="M291" s="35" t="s">
        <v>9</v>
      </c>
      <c r="N291" s="35" t="s">
        <v>286</v>
      </c>
    </row>
    <row r="292" spans="1:14" ht="37.5" x14ac:dyDescent="0.3">
      <c r="A292" s="35">
        <v>291</v>
      </c>
      <c r="B292" s="77" t="s">
        <v>65</v>
      </c>
      <c r="C292" s="35" t="s">
        <v>182</v>
      </c>
      <c r="D292" s="77" t="s">
        <v>2145</v>
      </c>
      <c r="E292" s="83">
        <v>4015375</v>
      </c>
      <c r="F292" s="83">
        <v>3585643</v>
      </c>
      <c r="G292" s="83">
        <v>4013771</v>
      </c>
      <c r="H292" s="83">
        <v>2473109</v>
      </c>
      <c r="I292" s="83">
        <v>2398220</v>
      </c>
      <c r="J292" s="83">
        <v>1221387</v>
      </c>
      <c r="K292" s="83">
        <v>820691</v>
      </c>
      <c r="L292" s="35" t="s">
        <v>182</v>
      </c>
      <c r="M292" s="35" t="s">
        <v>9</v>
      </c>
      <c r="N292" s="35" t="s">
        <v>286</v>
      </c>
    </row>
    <row r="293" spans="1:14" ht="37.5" x14ac:dyDescent="0.3">
      <c r="A293" s="35">
        <v>292</v>
      </c>
      <c r="B293" s="77" t="s">
        <v>65</v>
      </c>
      <c r="C293" s="35" t="s">
        <v>184</v>
      </c>
      <c r="D293" s="77" t="s">
        <v>2142</v>
      </c>
      <c r="E293" s="83">
        <v>4220899</v>
      </c>
      <c r="F293" s="83">
        <v>3817325</v>
      </c>
      <c r="G293" s="83">
        <v>4437872</v>
      </c>
      <c r="H293" s="83">
        <v>3928103</v>
      </c>
      <c r="I293" s="83">
        <v>3489465</v>
      </c>
      <c r="J293" s="83">
        <v>1581569</v>
      </c>
      <c r="K293" s="83">
        <v>1460320</v>
      </c>
      <c r="L293" s="35" t="s">
        <v>184</v>
      </c>
      <c r="M293" s="35" t="s">
        <v>9</v>
      </c>
      <c r="N293" s="35" t="s">
        <v>286</v>
      </c>
    </row>
    <row r="294" spans="1:14" ht="37.5" x14ac:dyDescent="0.3">
      <c r="A294" s="35">
        <v>293</v>
      </c>
      <c r="B294" s="77" t="s">
        <v>65</v>
      </c>
      <c r="C294" s="35" t="s">
        <v>185</v>
      </c>
      <c r="D294" s="77" t="s">
        <v>2147</v>
      </c>
      <c r="E294" s="83">
        <v>8805953</v>
      </c>
      <c r="F294" s="83">
        <v>6552662</v>
      </c>
      <c r="G294" s="83">
        <v>6546996</v>
      </c>
      <c r="H294" s="83">
        <v>5333170</v>
      </c>
      <c r="I294" s="83">
        <v>6181916</v>
      </c>
      <c r="J294" s="83">
        <v>3132849</v>
      </c>
      <c r="K294" s="83">
        <v>2252007</v>
      </c>
      <c r="L294" s="35" t="s">
        <v>185</v>
      </c>
      <c r="M294" s="35" t="s">
        <v>9</v>
      </c>
      <c r="N294" s="35" t="s">
        <v>286</v>
      </c>
    </row>
    <row r="295" spans="1:14" ht="37.5" x14ac:dyDescent="0.3">
      <c r="A295" s="35">
        <v>294</v>
      </c>
      <c r="B295" s="180" t="s">
        <v>65</v>
      </c>
      <c r="C295" s="35" t="s">
        <v>818</v>
      </c>
      <c r="D295" s="77" t="s">
        <v>2110</v>
      </c>
      <c r="E295" s="83"/>
      <c r="F295" s="83"/>
      <c r="G295" s="83"/>
      <c r="H295" s="83"/>
      <c r="I295" s="83"/>
      <c r="J295" s="83"/>
      <c r="K295" s="83"/>
      <c r="L295" s="35" t="s">
        <v>818</v>
      </c>
      <c r="M295" s="35" t="s">
        <v>9</v>
      </c>
    </row>
    <row r="296" spans="1:14" ht="37.5" x14ac:dyDescent="0.3">
      <c r="A296" s="35">
        <v>295</v>
      </c>
      <c r="B296" s="180" t="s">
        <v>65</v>
      </c>
      <c r="C296" s="35" t="s">
        <v>819</v>
      </c>
      <c r="D296" s="77" t="s">
        <v>2111</v>
      </c>
      <c r="E296" s="83"/>
      <c r="F296" s="83"/>
      <c r="G296" s="83"/>
      <c r="H296" s="83"/>
      <c r="I296" s="83"/>
      <c r="J296" s="83"/>
      <c r="K296" s="83"/>
      <c r="L296" s="35" t="s">
        <v>819</v>
      </c>
      <c r="M296" s="35" t="s">
        <v>9</v>
      </c>
    </row>
    <row r="297" spans="1:14" ht="37.5" x14ac:dyDescent="0.3">
      <c r="A297" s="35">
        <v>296</v>
      </c>
      <c r="B297" s="180" t="s">
        <v>65</v>
      </c>
      <c r="C297" s="35" t="s">
        <v>820</v>
      </c>
      <c r="D297" s="77" t="s">
        <v>2112</v>
      </c>
      <c r="E297" s="83"/>
      <c r="F297" s="83"/>
      <c r="G297" s="83"/>
      <c r="H297" s="83"/>
      <c r="I297" s="83"/>
      <c r="J297" s="83"/>
      <c r="K297" s="83"/>
      <c r="L297" s="35" t="s">
        <v>820</v>
      </c>
      <c r="M297" s="35" t="s">
        <v>9</v>
      </c>
    </row>
    <row r="298" spans="1:14" ht="37.5" x14ac:dyDescent="0.3">
      <c r="A298" s="35">
        <v>297</v>
      </c>
      <c r="B298" s="180" t="s">
        <v>65</v>
      </c>
      <c r="C298" s="35" t="s">
        <v>821</v>
      </c>
      <c r="D298" s="77" t="s">
        <v>2113</v>
      </c>
      <c r="E298" s="83"/>
      <c r="F298" s="83"/>
      <c r="G298" s="83"/>
      <c r="H298" s="83"/>
      <c r="I298" s="83"/>
      <c r="J298" s="83"/>
      <c r="K298" s="83"/>
      <c r="L298" s="35" t="s">
        <v>821</v>
      </c>
      <c r="M298" s="35">
        <v>12345678</v>
      </c>
      <c r="N298" s="69"/>
    </row>
    <row r="299" spans="1:14" ht="37.5" x14ac:dyDescent="0.3">
      <c r="A299" s="35">
        <v>298</v>
      </c>
      <c r="B299" s="180" t="s">
        <v>65</v>
      </c>
      <c r="C299" s="35" t="s">
        <v>822</v>
      </c>
      <c r="D299" s="77" t="s">
        <v>2114</v>
      </c>
      <c r="E299" s="83"/>
      <c r="F299" s="83"/>
      <c r="G299" s="83"/>
      <c r="H299" s="83"/>
      <c r="I299" s="83"/>
      <c r="J299" s="83"/>
      <c r="K299" s="83"/>
      <c r="L299" s="35" t="s">
        <v>822</v>
      </c>
      <c r="M299" s="35">
        <v>12345678</v>
      </c>
      <c r="N299" s="69"/>
    </row>
    <row r="300" spans="1:14" ht="37.5" x14ac:dyDescent="0.3">
      <c r="A300" s="35">
        <v>299</v>
      </c>
      <c r="B300" s="180" t="s">
        <v>65</v>
      </c>
      <c r="C300" s="35" t="s">
        <v>823</v>
      </c>
      <c r="D300" s="77" t="s">
        <v>2115</v>
      </c>
      <c r="E300" s="83"/>
      <c r="F300" s="83"/>
      <c r="G300" s="83"/>
      <c r="H300" s="83"/>
      <c r="I300" s="83"/>
      <c r="J300" s="83"/>
      <c r="K300" s="83"/>
      <c r="L300" s="35" t="s">
        <v>823</v>
      </c>
      <c r="M300" s="35">
        <v>12345678</v>
      </c>
      <c r="N300" s="69"/>
    </row>
    <row r="301" spans="1:14" ht="37.5" x14ac:dyDescent="0.3">
      <c r="A301" s="35">
        <v>300</v>
      </c>
      <c r="B301" s="180" t="s">
        <v>65</v>
      </c>
      <c r="C301" s="35" t="s">
        <v>824</v>
      </c>
      <c r="D301" s="77" t="s">
        <v>2116</v>
      </c>
      <c r="E301" s="83"/>
      <c r="F301" s="83"/>
      <c r="G301" s="83"/>
      <c r="H301" s="83"/>
      <c r="I301" s="83"/>
      <c r="J301" s="83"/>
      <c r="K301" s="83"/>
      <c r="L301" s="35" t="s">
        <v>824</v>
      </c>
      <c r="M301" s="35">
        <v>12345678</v>
      </c>
      <c r="N301" s="69"/>
    </row>
    <row r="302" spans="1:14" ht="37.5" x14ac:dyDescent="0.3">
      <c r="A302" s="35">
        <v>301</v>
      </c>
      <c r="B302" s="180" t="s">
        <v>65</v>
      </c>
      <c r="C302" s="35" t="s">
        <v>825</v>
      </c>
      <c r="D302" s="77" t="s">
        <v>2117</v>
      </c>
      <c r="E302" s="83"/>
      <c r="F302" s="83"/>
      <c r="G302" s="83"/>
      <c r="H302" s="83"/>
      <c r="I302" s="83"/>
      <c r="J302" s="83"/>
      <c r="K302" s="83"/>
      <c r="L302" s="35" t="s">
        <v>825</v>
      </c>
      <c r="M302" s="35">
        <v>12345678</v>
      </c>
      <c r="N302" s="69"/>
    </row>
    <row r="303" spans="1:14" ht="37.5" x14ac:dyDescent="0.3">
      <c r="A303" s="35">
        <v>302</v>
      </c>
      <c r="B303" s="180" t="s">
        <v>65</v>
      </c>
      <c r="C303" s="35" t="s">
        <v>826</v>
      </c>
      <c r="D303" s="77" t="s">
        <v>2118</v>
      </c>
      <c r="E303" s="83"/>
      <c r="F303" s="83"/>
      <c r="G303" s="83"/>
      <c r="H303" s="83"/>
      <c r="I303" s="83"/>
      <c r="J303" s="83"/>
      <c r="K303" s="83"/>
      <c r="L303" s="35" t="s">
        <v>826</v>
      </c>
      <c r="M303" s="35" t="s">
        <v>9</v>
      </c>
    </row>
    <row r="304" spans="1:14" ht="37.5" x14ac:dyDescent="0.3">
      <c r="A304" s="35">
        <v>303</v>
      </c>
      <c r="B304" s="180" t="s">
        <v>65</v>
      </c>
      <c r="C304" s="35" t="s">
        <v>827</v>
      </c>
      <c r="D304" s="77" t="s">
        <v>2119</v>
      </c>
      <c r="E304" s="83"/>
      <c r="F304" s="83"/>
      <c r="G304" s="83"/>
      <c r="H304" s="83"/>
      <c r="I304" s="83"/>
      <c r="J304" s="83"/>
      <c r="K304" s="83"/>
      <c r="L304" s="35" t="s">
        <v>827</v>
      </c>
      <c r="M304" s="35" t="s">
        <v>9</v>
      </c>
    </row>
    <row r="305" spans="1:14" ht="37.5" x14ac:dyDescent="0.3">
      <c r="A305" s="35">
        <v>304</v>
      </c>
      <c r="B305" s="180" t="s">
        <v>65</v>
      </c>
      <c r="C305" s="35" t="s">
        <v>828</v>
      </c>
      <c r="D305" s="77" t="s">
        <v>2120</v>
      </c>
      <c r="E305" s="83"/>
      <c r="F305" s="83"/>
      <c r="G305" s="83"/>
      <c r="H305" s="83"/>
      <c r="I305" s="83"/>
      <c r="J305" s="83"/>
      <c r="K305" s="83"/>
      <c r="L305" s="35" t="s">
        <v>828</v>
      </c>
      <c r="M305" s="35" t="s">
        <v>9</v>
      </c>
    </row>
    <row r="306" spans="1:14" ht="37.5" x14ac:dyDescent="0.3">
      <c r="A306" s="35">
        <v>305</v>
      </c>
      <c r="B306" s="180" t="s">
        <v>65</v>
      </c>
      <c r="C306" s="35" t="s">
        <v>829</v>
      </c>
      <c r="D306" s="77" t="s">
        <v>2121</v>
      </c>
      <c r="E306" s="83"/>
      <c r="F306" s="83"/>
      <c r="G306" s="83"/>
      <c r="H306" s="83"/>
      <c r="I306" s="83"/>
      <c r="J306" s="83"/>
      <c r="K306" s="83"/>
      <c r="L306" s="35" t="s">
        <v>829</v>
      </c>
      <c r="M306" s="35" t="s">
        <v>9</v>
      </c>
    </row>
    <row r="307" spans="1:14" ht="37.5" x14ac:dyDescent="0.3">
      <c r="A307" s="35">
        <v>306</v>
      </c>
      <c r="B307" s="180" t="s">
        <v>65</v>
      </c>
      <c r="C307" s="35" t="s">
        <v>830</v>
      </c>
      <c r="D307" s="77" t="s">
        <v>2122</v>
      </c>
      <c r="E307" s="83"/>
      <c r="F307" s="83"/>
      <c r="G307" s="83"/>
      <c r="H307" s="83"/>
      <c r="I307" s="83"/>
      <c r="J307" s="83"/>
      <c r="K307" s="83"/>
      <c r="L307" s="35" t="s">
        <v>830</v>
      </c>
      <c r="M307" s="35" t="s">
        <v>9</v>
      </c>
      <c r="N307" s="69"/>
    </row>
    <row r="308" spans="1:14" ht="37.5" x14ac:dyDescent="0.3">
      <c r="A308" s="35">
        <v>307</v>
      </c>
      <c r="B308" s="180" t="s">
        <v>65</v>
      </c>
      <c r="C308" s="35" t="s">
        <v>831</v>
      </c>
      <c r="D308" s="77" t="s">
        <v>2123</v>
      </c>
      <c r="E308" s="83"/>
      <c r="F308" s="83"/>
      <c r="G308" s="83"/>
      <c r="H308" s="83"/>
      <c r="I308" s="83"/>
      <c r="J308" s="83"/>
      <c r="K308" s="83"/>
      <c r="L308" s="35" t="s">
        <v>831</v>
      </c>
      <c r="M308" s="35" t="s">
        <v>9</v>
      </c>
      <c r="N308" s="69"/>
    </row>
    <row r="309" spans="1:14" ht="37.5" x14ac:dyDescent="0.3">
      <c r="A309" s="35">
        <v>308</v>
      </c>
      <c r="B309" s="180" t="s">
        <v>65</v>
      </c>
      <c r="C309" s="35" t="s">
        <v>832</v>
      </c>
      <c r="D309" s="77" t="s">
        <v>2124</v>
      </c>
      <c r="E309" s="83"/>
      <c r="F309" s="83"/>
      <c r="G309" s="83"/>
      <c r="H309" s="83"/>
      <c r="I309" s="83"/>
      <c r="J309" s="83"/>
      <c r="K309" s="83"/>
      <c r="L309" s="35" t="s">
        <v>832</v>
      </c>
      <c r="M309" s="35" t="s">
        <v>9</v>
      </c>
      <c r="N309" s="69"/>
    </row>
    <row r="310" spans="1:14" ht="37.5" x14ac:dyDescent="0.3">
      <c r="A310" s="35">
        <v>309</v>
      </c>
      <c r="B310" s="180" t="s">
        <v>65</v>
      </c>
      <c r="C310" s="35" t="s">
        <v>833</v>
      </c>
      <c r="D310" s="77" t="s">
        <v>2125</v>
      </c>
      <c r="E310" s="83"/>
      <c r="F310" s="83"/>
      <c r="G310" s="83"/>
      <c r="H310" s="83"/>
      <c r="I310" s="83"/>
      <c r="J310" s="83"/>
      <c r="K310" s="83"/>
      <c r="L310" s="35" t="s">
        <v>833</v>
      </c>
      <c r="M310" s="35" t="s">
        <v>9</v>
      </c>
      <c r="N310" s="69"/>
    </row>
    <row r="311" spans="1:14" ht="37.5" x14ac:dyDescent="0.3">
      <c r="A311" s="35">
        <v>310</v>
      </c>
      <c r="B311" s="180" t="s">
        <v>65</v>
      </c>
      <c r="C311" s="35" t="s">
        <v>834</v>
      </c>
      <c r="D311" s="77" t="s">
        <v>2126</v>
      </c>
      <c r="E311" s="83"/>
      <c r="F311" s="83"/>
      <c r="G311" s="83"/>
      <c r="H311" s="83"/>
      <c r="I311" s="83"/>
      <c r="J311" s="83"/>
      <c r="K311" s="83"/>
      <c r="L311" s="35" t="s">
        <v>834</v>
      </c>
      <c r="M311" s="35" t="s">
        <v>9</v>
      </c>
      <c r="N311" s="69"/>
    </row>
    <row r="312" spans="1:14" ht="37.5" x14ac:dyDescent="0.3">
      <c r="A312" s="35">
        <v>311</v>
      </c>
      <c r="B312" s="180" t="s">
        <v>65</v>
      </c>
      <c r="C312" s="35" t="s">
        <v>835</v>
      </c>
      <c r="D312" s="77" t="s">
        <v>2127</v>
      </c>
      <c r="E312" s="83"/>
      <c r="F312" s="83"/>
      <c r="G312" s="83"/>
      <c r="H312" s="83"/>
      <c r="I312" s="83"/>
      <c r="J312" s="83"/>
      <c r="K312" s="83"/>
      <c r="L312" s="35" t="s">
        <v>835</v>
      </c>
      <c r="M312" s="35" t="s">
        <v>9</v>
      </c>
      <c r="N312" s="69"/>
    </row>
    <row r="313" spans="1:14" ht="37.5" x14ac:dyDescent="0.3">
      <c r="A313" s="35">
        <v>312</v>
      </c>
      <c r="B313" s="180" t="s">
        <v>65</v>
      </c>
      <c r="C313" s="35" t="s">
        <v>836</v>
      </c>
      <c r="D313" s="77" t="s">
        <v>2128</v>
      </c>
      <c r="E313" s="83"/>
      <c r="F313" s="83"/>
      <c r="G313" s="83"/>
      <c r="H313" s="83"/>
      <c r="I313" s="83"/>
      <c r="J313" s="83"/>
      <c r="K313" s="83"/>
      <c r="L313" s="35" t="s">
        <v>836</v>
      </c>
      <c r="M313" s="35" t="s">
        <v>9</v>
      </c>
      <c r="N313" s="69"/>
    </row>
    <row r="314" spans="1:14" ht="37.5" x14ac:dyDescent="0.3">
      <c r="A314" s="35">
        <v>313</v>
      </c>
      <c r="B314" s="180" t="s">
        <v>65</v>
      </c>
      <c r="C314" s="35" t="s">
        <v>837</v>
      </c>
      <c r="D314" s="77" t="s">
        <v>2129</v>
      </c>
      <c r="E314" s="83"/>
      <c r="F314" s="83"/>
      <c r="G314" s="83"/>
      <c r="H314" s="83"/>
      <c r="I314" s="83"/>
      <c r="J314" s="83"/>
      <c r="K314" s="83"/>
      <c r="L314" s="35" t="s">
        <v>837</v>
      </c>
      <c r="M314" s="35" t="s">
        <v>9</v>
      </c>
      <c r="N314" s="69"/>
    </row>
    <row r="315" spans="1:14" ht="37.5" x14ac:dyDescent="0.3">
      <c r="A315" s="35">
        <v>314</v>
      </c>
      <c r="B315" s="180" t="s">
        <v>65</v>
      </c>
      <c r="C315" s="35" t="s">
        <v>838</v>
      </c>
      <c r="D315" s="77" t="s">
        <v>2130</v>
      </c>
      <c r="E315" s="83"/>
      <c r="F315" s="83"/>
      <c r="G315" s="83"/>
      <c r="H315" s="83"/>
      <c r="I315" s="83"/>
      <c r="J315" s="83"/>
      <c r="K315" s="83"/>
      <c r="L315" s="35" t="s">
        <v>838</v>
      </c>
      <c r="M315" s="35" t="s">
        <v>9</v>
      </c>
      <c r="N315" s="69"/>
    </row>
    <row r="316" spans="1:14" ht="37.5" x14ac:dyDescent="0.3">
      <c r="A316" s="35">
        <v>315</v>
      </c>
      <c r="B316" s="180" t="s">
        <v>65</v>
      </c>
      <c r="C316" s="35" t="s">
        <v>839</v>
      </c>
      <c r="D316" s="77" t="s">
        <v>2131</v>
      </c>
      <c r="E316" s="83"/>
      <c r="F316" s="83"/>
      <c r="G316" s="83"/>
      <c r="H316" s="83"/>
      <c r="I316" s="83"/>
      <c r="J316" s="83"/>
      <c r="K316" s="83"/>
      <c r="L316" s="35" t="s">
        <v>839</v>
      </c>
      <c r="M316" s="35" t="s">
        <v>9</v>
      </c>
      <c r="N316" s="69"/>
    </row>
    <row r="317" spans="1:14" ht="37.5" x14ac:dyDescent="0.3">
      <c r="A317" s="35">
        <v>316</v>
      </c>
      <c r="B317" s="180" t="s">
        <v>65</v>
      </c>
      <c r="C317" s="35" t="s">
        <v>840</v>
      </c>
      <c r="D317" s="77" t="s">
        <v>2132</v>
      </c>
      <c r="E317" s="83"/>
      <c r="F317" s="83"/>
      <c r="G317" s="83"/>
      <c r="H317" s="83"/>
      <c r="I317" s="83"/>
      <c r="J317" s="83"/>
      <c r="K317" s="83"/>
      <c r="L317" s="35" t="s">
        <v>840</v>
      </c>
      <c r="M317" s="35" t="s">
        <v>9</v>
      </c>
      <c r="N317" s="69"/>
    </row>
    <row r="318" spans="1:14" ht="37.5" x14ac:dyDescent="0.3">
      <c r="A318" s="35">
        <v>317</v>
      </c>
      <c r="B318" s="180" t="s">
        <v>65</v>
      </c>
      <c r="C318" s="35" t="s">
        <v>841</v>
      </c>
      <c r="D318" s="77" t="s">
        <v>2133</v>
      </c>
      <c r="E318" s="83"/>
      <c r="F318" s="83"/>
      <c r="G318" s="83"/>
      <c r="H318" s="83"/>
      <c r="I318" s="83"/>
      <c r="J318" s="83"/>
      <c r="K318" s="83"/>
      <c r="L318" s="35" t="s">
        <v>841</v>
      </c>
      <c r="M318" s="35" t="s">
        <v>9</v>
      </c>
      <c r="N318" s="69"/>
    </row>
    <row r="319" spans="1:14" ht="37.5" x14ac:dyDescent="0.3">
      <c r="A319" s="35">
        <v>318</v>
      </c>
      <c r="B319" s="180" t="s">
        <v>65</v>
      </c>
      <c r="C319" s="35" t="s">
        <v>842</v>
      </c>
      <c r="D319" s="77" t="s">
        <v>2134</v>
      </c>
      <c r="E319" s="83"/>
      <c r="F319" s="83"/>
      <c r="G319" s="83"/>
      <c r="H319" s="83"/>
      <c r="I319" s="83"/>
      <c r="J319" s="83"/>
      <c r="K319" s="83"/>
      <c r="L319" s="35" t="s">
        <v>842</v>
      </c>
      <c r="M319" s="35" t="s">
        <v>9</v>
      </c>
      <c r="N319" s="69"/>
    </row>
    <row r="320" spans="1:14" ht="37.5" x14ac:dyDescent="0.3">
      <c r="A320" s="35">
        <v>319</v>
      </c>
      <c r="B320" s="180" t="s">
        <v>65</v>
      </c>
      <c r="C320" s="35" t="s">
        <v>843</v>
      </c>
      <c r="D320" s="77" t="s">
        <v>2135</v>
      </c>
      <c r="E320" s="83"/>
      <c r="F320" s="83"/>
      <c r="G320" s="83"/>
      <c r="H320" s="83"/>
      <c r="I320" s="83"/>
      <c r="J320" s="83"/>
      <c r="K320" s="83"/>
      <c r="L320" s="35" t="s">
        <v>843</v>
      </c>
      <c r="M320" s="35" t="s">
        <v>9</v>
      </c>
      <c r="N320" s="69"/>
    </row>
    <row r="321" spans="1:14" ht="37.5" x14ac:dyDescent="0.3">
      <c r="A321" s="35">
        <v>320</v>
      </c>
      <c r="B321" s="180" t="s">
        <v>65</v>
      </c>
      <c r="C321" s="35" t="s">
        <v>844</v>
      </c>
      <c r="D321" s="77" t="s">
        <v>2136</v>
      </c>
      <c r="E321" s="83"/>
      <c r="F321" s="83"/>
      <c r="G321" s="83"/>
      <c r="H321" s="83"/>
      <c r="I321" s="83"/>
      <c r="J321" s="83"/>
      <c r="K321" s="83"/>
      <c r="L321" s="35" t="s">
        <v>844</v>
      </c>
      <c r="M321" s="35" t="s">
        <v>9</v>
      </c>
      <c r="N321" s="69"/>
    </row>
    <row r="322" spans="1:14" ht="37.5" x14ac:dyDescent="0.3">
      <c r="A322" s="35">
        <v>321</v>
      </c>
      <c r="B322" s="77" t="s">
        <v>65</v>
      </c>
      <c r="C322" s="35" t="s">
        <v>777</v>
      </c>
      <c r="D322" s="77" t="s">
        <v>2137</v>
      </c>
      <c r="E322" s="83"/>
      <c r="F322" s="83">
        <v>222977</v>
      </c>
      <c r="G322" s="83"/>
      <c r="H322" s="83"/>
      <c r="I322" s="83"/>
      <c r="J322" s="83"/>
      <c r="K322" s="83"/>
      <c r="L322" s="35" t="s">
        <v>777</v>
      </c>
      <c r="M322" s="35" t="s">
        <v>9</v>
      </c>
      <c r="N322" s="35"/>
    </row>
  </sheetData>
  <phoneticPr fontId="7" type="noConversion"/>
  <pageMargins left="0.7" right="0.7" top="0.75" bottom="0.75" header="0.3" footer="0.3"/>
  <pageSetup paperSize="8" scale="37" fitToHeight="0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FC95F5-5E76-4C77-B1E4-4356862B0D16}">
  <sheetPr>
    <pageSetUpPr fitToPage="1"/>
  </sheetPr>
  <dimension ref="A1:X83"/>
  <sheetViews>
    <sheetView topLeftCell="A9" workbookViewId="0">
      <selection activeCell="B10" sqref="B10"/>
    </sheetView>
  </sheetViews>
  <sheetFormatPr defaultColWidth="7" defaultRowHeight="18.75" x14ac:dyDescent="0.3"/>
  <cols>
    <col min="1" max="1" width="5.77734375" style="71" customWidth="1"/>
    <col min="2" max="2" width="52.6640625" style="71" hidden="1" customWidth="1"/>
    <col min="3" max="3" width="29.88671875" style="5" hidden="1" customWidth="1"/>
    <col min="4" max="4" width="13.109375" style="2" hidden="1" customWidth="1"/>
    <col min="5" max="5" width="12.88671875" style="1" customWidth="1"/>
    <col min="6" max="6" width="17.88671875" style="2" customWidth="1"/>
    <col min="7" max="7" width="9.33203125" style="2" customWidth="1"/>
    <col min="8" max="8" width="29.6640625" style="103" customWidth="1"/>
    <col min="9" max="15" width="12" style="82" hidden="1" customWidth="1"/>
    <col min="16" max="16" width="13.77734375" style="5" customWidth="1"/>
    <col min="17" max="17" width="13.77734375" style="5" bestFit="1" customWidth="1"/>
    <col min="18" max="19" width="12.5546875" style="5" bestFit="1" customWidth="1"/>
    <col min="20" max="20" width="24.21875" style="2" customWidth="1"/>
    <col min="21" max="21" width="11.5546875" style="2" customWidth="1"/>
    <col min="22" max="22" width="16.109375" style="5" bestFit="1" customWidth="1"/>
    <col min="23" max="23" width="13.5546875" style="5" bestFit="1" customWidth="1"/>
    <col min="24" max="24" width="13.109375" style="1" bestFit="1" customWidth="1"/>
    <col min="25" max="249" width="7" style="2"/>
    <col min="250" max="250" width="4.109375" style="2" customWidth="1"/>
    <col min="251" max="251" width="3.6640625" style="2" customWidth="1"/>
    <col min="252" max="252" width="4.88671875" style="2" customWidth="1"/>
    <col min="253" max="253" width="10.33203125" style="2" customWidth="1"/>
    <col min="254" max="254" width="13.33203125" style="2" customWidth="1"/>
    <col min="255" max="255" width="5.5546875" style="2" customWidth="1"/>
    <col min="256" max="256" width="6.44140625" style="2" customWidth="1"/>
    <col min="257" max="257" width="11.6640625" style="2" customWidth="1"/>
    <col min="258" max="258" width="10.44140625" style="2" customWidth="1"/>
    <col min="259" max="259" width="13.44140625" style="2" customWidth="1"/>
    <col min="260" max="505" width="7" style="2"/>
    <col min="506" max="506" width="4.109375" style="2" customWidth="1"/>
    <col min="507" max="507" width="3.6640625" style="2" customWidth="1"/>
    <col min="508" max="508" width="4.88671875" style="2" customWidth="1"/>
    <col min="509" max="509" width="10.33203125" style="2" customWidth="1"/>
    <col min="510" max="510" width="13.33203125" style="2" customWidth="1"/>
    <col min="511" max="511" width="5.5546875" style="2" customWidth="1"/>
    <col min="512" max="512" width="6.44140625" style="2" customWidth="1"/>
    <col min="513" max="513" width="11.6640625" style="2" customWidth="1"/>
    <col min="514" max="514" width="10.44140625" style="2" customWidth="1"/>
    <col min="515" max="515" width="13.44140625" style="2" customWidth="1"/>
    <col min="516" max="761" width="7" style="2"/>
    <col min="762" max="762" width="4.109375" style="2" customWidth="1"/>
    <col min="763" max="763" width="3.6640625" style="2" customWidth="1"/>
    <col min="764" max="764" width="4.88671875" style="2" customWidth="1"/>
    <col min="765" max="765" width="10.33203125" style="2" customWidth="1"/>
    <col min="766" max="766" width="13.33203125" style="2" customWidth="1"/>
    <col min="767" max="767" width="5.5546875" style="2" customWidth="1"/>
    <col min="768" max="768" width="6.44140625" style="2" customWidth="1"/>
    <col min="769" max="769" width="11.6640625" style="2" customWidth="1"/>
    <col min="770" max="770" width="10.44140625" style="2" customWidth="1"/>
    <col min="771" max="771" width="13.44140625" style="2" customWidth="1"/>
    <col min="772" max="1017" width="7" style="2"/>
    <col min="1018" max="1018" width="4.109375" style="2" customWidth="1"/>
    <col min="1019" max="1019" width="3.6640625" style="2" customWidth="1"/>
    <col min="1020" max="1020" width="4.88671875" style="2" customWidth="1"/>
    <col min="1021" max="1021" width="10.33203125" style="2" customWidth="1"/>
    <col min="1022" max="1022" width="13.33203125" style="2" customWidth="1"/>
    <col min="1023" max="1023" width="5.5546875" style="2" customWidth="1"/>
    <col min="1024" max="1024" width="6.44140625" style="2" customWidth="1"/>
    <col min="1025" max="1025" width="11.6640625" style="2" customWidth="1"/>
    <col min="1026" max="1026" width="10.44140625" style="2" customWidth="1"/>
    <col min="1027" max="1027" width="13.44140625" style="2" customWidth="1"/>
    <col min="1028" max="1273" width="7" style="2"/>
    <col min="1274" max="1274" width="4.109375" style="2" customWidth="1"/>
    <col min="1275" max="1275" width="3.6640625" style="2" customWidth="1"/>
    <col min="1276" max="1276" width="4.88671875" style="2" customWidth="1"/>
    <col min="1277" max="1277" width="10.33203125" style="2" customWidth="1"/>
    <col min="1278" max="1278" width="13.33203125" style="2" customWidth="1"/>
    <col min="1279" max="1279" width="5.5546875" style="2" customWidth="1"/>
    <col min="1280" max="1280" width="6.44140625" style="2" customWidth="1"/>
    <col min="1281" max="1281" width="11.6640625" style="2" customWidth="1"/>
    <col min="1282" max="1282" width="10.44140625" style="2" customWidth="1"/>
    <col min="1283" max="1283" width="13.44140625" style="2" customWidth="1"/>
    <col min="1284" max="1529" width="7" style="2"/>
    <col min="1530" max="1530" width="4.109375" style="2" customWidth="1"/>
    <col min="1531" max="1531" width="3.6640625" style="2" customWidth="1"/>
    <col min="1532" max="1532" width="4.88671875" style="2" customWidth="1"/>
    <col min="1533" max="1533" width="10.33203125" style="2" customWidth="1"/>
    <col min="1534" max="1534" width="13.33203125" style="2" customWidth="1"/>
    <col min="1535" max="1535" width="5.5546875" style="2" customWidth="1"/>
    <col min="1536" max="1536" width="6.44140625" style="2" customWidth="1"/>
    <col min="1537" max="1537" width="11.6640625" style="2" customWidth="1"/>
    <col min="1538" max="1538" width="10.44140625" style="2" customWidth="1"/>
    <col min="1539" max="1539" width="13.44140625" style="2" customWidth="1"/>
    <col min="1540" max="1785" width="7" style="2"/>
    <col min="1786" max="1786" width="4.109375" style="2" customWidth="1"/>
    <col min="1787" max="1787" width="3.6640625" style="2" customWidth="1"/>
    <col min="1788" max="1788" width="4.88671875" style="2" customWidth="1"/>
    <col min="1789" max="1789" width="10.33203125" style="2" customWidth="1"/>
    <col min="1790" max="1790" width="13.33203125" style="2" customWidth="1"/>
    <col min="1791" max="1791" width="5.5546875" style="2" customWidth="1"/>
    <col min="1792" max="1792" width="6.44140625" style="2" customWidth="1"/>
    <col min="1793" max="1793" width="11.6640625" style="2" customWidth="1"/>
    <col min="1794" max="1794" width="10.44140625" style="2" customWidth="1"/>
    <col min="1795" max="1795" width="13.44140625" style="2" customWidth="1"/>
    <col min="1796" max="2041" width="7" style="2"/>
    <col min="2042" max="2042" width="4.109375" style="2" customWidth="1"/>
    <col min="2043" max="2043" width="3.6640625" style="2" customWidth="1"/>
    <col min="2044" max="2044" width="4.88671875" style="2" customWidth="1"/>
    <col min="2045" max="2045" width="10.33203125" style="2" customWidth="1"/>
    <col min="2046" max="2046" width="13.33203125" style="2" customWidth="1"/>
    <col min="2047" max="2047" width="5.5546875" style="2" customWidth="1"/>
    <col min="2048" max="2048" width="6.44140625" style="2" customWidth="1"/>
    <col min="2049" max="2049" width="11.6640625" style="2" customWidth="1"/>
    <col min="2050" max="2050" width="10.44140625" style="2" customWidth="1"/>
    <col min="2051" max="2051" width="13.44140625" style="2" customWidth="1"/>
    <col min="2052" max="2297" width="7" style="2"/>
    <col min="2298" max="2298" width="4.109375" style="2" customWidth="1"/>
    <col min="2299" max="2299" width="3.6640625" style="2" customWidth="1"/>
    <col min="2300" max="2300" width="4.88671875" style="2" customWidth="1"/>
    <col min="2301" max="2301" width="10.33203125" style="2" customWidth="1"/>
    <col min="2302" max="2302" width="13.33203125" style="2" customWidth="1"/>
    <col min="2303" max="2303" width="5.5546875" style="2" customWidth="1"/>
    <col min="2304" max="2304" width="6.44140625" style="2" customWidth="1"/>
    <col min="2305" max="2305" width="11.6640625" style="2" customWidth="1"/>
    <col min="2306" max="2306" width="10.44140625" style="2" customWidth="1"/>
    <col min="2307" max="2307" width="13.44140625" style="2" customWidth="1"/>
    <col min="2308" max="2553" width="7" style="2"/>
    <col min="2554" max="2554" width="4.109375" style="2" customWidth="1"/>
    <col min="2555" max="2555" width="3.6640625" style="2" customWidth="1"/>
    <col min="2556" max="2556" width="4.88671875" style="2" customWidth="1"/>
    <col min="2557" max="2557" width="10.33203125" style="2" customWidth="1"/>
    <col min="2558" max="2558" width="13.33203125" style="2" customWidth="1"/>
    <col min="2559" max="2559" width="5.5546875" style="2" customWidth="1"/>
    <col min="2560" max="2560" width="6.44140625" style="2" customWidth="1"/>
    <col min="2561" max="2561" width="11.6640625" style="2" customWidth="1"/>
    <col min="2562" max="2562" width="10.44140625" style="2" customWidth="1"/>
    <col min="2563" max="2563" width="13.44140625" style="2" customWidth="1"/>
    <col min="2564" max="2809" width="7" style="2"/>
    <col min="2810" max="2810" width="4.109375" style="2" customWidth="1"/>
    <col min="2811" max="2811" width="3.6640625" style="2" customWidth="1"/>
    <col min="2812" max="2812" width="4.88671875" style="2" customWidth="1"/>
    <col min="2813" max="2813" width="10.33203125" style="2" customWidth="1"/>
    <col min="2814" max="2814" width="13.33203125" style="2" customWidth="1"/>
    <col min="2815" max="2815" width="5.5546875" style="2" customWidth="1"/>
    <col min="2816" max="2816" width="6.44140625" style="2" customWidth="1"/>
    <col min="2817" max="2817" width="11.6640625" style="2" customWidth="1"/>
    <col min="2818" max="2818" width="10.44140625" style="2" customWidth="1"/>
    <col min="2819" max="2819" width="13.44140625" style="2" customWidth="1"/>
    <col min="2820" max="3065" width="7" style="2"/>
    <col min="3066" max="3066" width="4.109375" style="2" customWidth="1"/>
    <col min="3067" max="3067" width="3.6640625" style="2" customWidth="1"/>
    <col min="3068" max="3068" width="4.88671875" style="2" customWidth="1"/>
    <col min="3069" max="3069" width="10.33203125" style="2" customWidth="1"/>
    <col min="3070" max="3070" width="13.33203125" style="2" customWidth="1"/>
    <col min="3071" max="3071" width="5.5546875" style="2" customWidth="1"/>
    <col min="3072" max="3072" width="6.44140625" style="2" customWidth="1"/>
    <col min="3073" max="3073" width="11.6640625" style="2" customWidth="1"/>
    <col min="3074" max="3074" width="10.44140625" style="2" customWidth="1"/>
    <col min="3075" max="3075" width="13.44140625" style="2" customWidth="1"/>
    <col min="3076" max="3321" width="7" style="2"/>
    <col min="3322" max="3322" width="4.109375" style="2" customWidth="1"/>
    <col min="3323" max="3323" width="3.6640625" style="2" customWidth="1"/>
    <col min="3324" max="3324" width="4.88671875" style="2" customWidth="1"/>
    <col min="3325" max="3325" width="10.33203125" style="2" customWidth="1"/>
    <col min="3326" max="3326" width="13.33203125" style="2" customWidth="1"/>
    <col min="3327" max="3327" width="5.5546875" style="2" customWidth="1"/>
    <col min="3328" max="3328" width="6.44140625" style="2" customWidth="1"/>
    <col min="3329" max="3329" width="11.6640625" style="2" customWidth="1"/>
    <col min="3330" max="3330" width="10.44140625" style="2" customWidth="1"/>
    <col min="3331" max="3331" width="13.44140625" style="2" customWidth="1"/>
    <col min="3332" max="3577" width="7" style="2"/>
    <col min="3578" max="3578" width="4.109375" style="2" customWidth="1"/>
    <col min="3579" max="3579" width="3.6640625" style="2" customWidth="1"/>
    <col min="3580" max="3580" width="4.88671875" style="2" customWidth="1"/>
    <col min="3581" max="3581" width="10.33203125" style="2" customWidth="1"/>
    <col min="3582" max="3582" width="13.33203125" style="2" customWidth="1"/>
    <col min="3583" max="3583" width="5.5546875" style="2" customWidth="1"/>
    <col min="3584" max="3584" width="6.44140625" style="2" customWidth="1"/>
    <col min="3585" max="3585" width="11.6640625" style="2" customWidth="1"/>
    <col min="3586" max="3586" width="10.44140625" style="2" customWidth="1"/>
    <col min="3587" max="3587" width="13.44140625" style="2" customWidth="1"/>
    <col min="3588" max="3833" width="7" style="2"/>
    <col min="3834" max="3834" width="4.109375" style="2" customWidth="1"/>
    <col min="3835" max="3835" width="3.6640625" style="2" customWidth="1"/>
    <col min="3836" max="3836" width="4.88671875" style="2" customWidth="1"/>
    <col min="3837" max="3837" width="10.33203125" style="2" customWidth="1"/>
    <col min="3838" max="3838" width="13.33203125" style="2" customWidth="1"/>
    <col min="3839" max="3839" width="5.5546875" style="2" customWidth="1"/>
    <col min="3840" max="3840" width="6.44140625" style="2" customWidth="1"/>
    <col min="3841" max="3841" width="11.6640625" style="2" customWidth="1"/>
    <col min="3842" max="3842" width="10.44140625" style="2" customWidth="1"/>
    <col min="3843" max="3843" width="13.44140625" style="2" customWidth="1"/>
    <col min="3844" max="4089" width="7" style="2"/>
    <col min="4090" max="4090" width="4.109375" style="2" customWidth="1"/>
    <col min="4091" max="4091" width="3.6640625" style="2" customWidth="1"/>
    <col min="4092" max="4092" width="4.88671875" style="2" customWidth="1"/>
    <col min="4093" max="4093" width="10.33203125" style="2" customWidth="1"/>
    <col min="4094" max="4094" width="13.33203125" style="2" customWidth="1"/>
    <col min="4095" max="4095" width="5.5546875" style="2" customWidth="1"/>
    <col min="4096" max="4096" width="6.44140625" style="2" customWidth="1"/>
    <col min="4097" max="4097" width="11.6640625" style="2" customWidth="1"/>
    <col min="4098" max="4098" width="10.44140625" style="2" customWidth="1"/>
    <col min="4099" max="4099" width="13.44140625" style="2" customWidth="1"/>
    <col min="4100" max="4345" width="7" style="2"/>
    <col min="4346" max="4346" width="4.109375" style="2" customWidth="1"/>
    <col min="4347" max="4347" width="3.6640625" style="2" customWidth="1"/>
    <col min="4348" max="4348" width="4.88671875" style="2" customWidth="1"/>
    <col min="4349" max="4349" width="10.33203125" style="2" customWidth="1"/>
    <col min="4350" max="4350" width="13.33203125" style="2" customWidth="1"/>
    <col min="4351" max="4351" width="5.5546875" style="2" customWidth="1"/>
    <col min="4352" max="4352" width="6.44140625" style="2" customWidth="1"/>
    <col min="4353" max="4353" width="11.6640625" style="2" customWidth="1"/>
    <col min="4354" max="4354" width="10.44140625" style="2" customWidth="1"/>
    <col min="4355" max="4355" width="13.44140625" style="2" customWidth="1"/>
    <col min="4356" max="4601" width="7" style="2"/>
    <col min="4602" max="4602" width="4.109375" style="2" customWidth="1"/>
    <col min="4603" max="4603" width="3.6640625" style="2" customWidth="1"/>
    <col min="4604" max="4604" width="4.88671875" style="2" customWidth="1"/>
    <col min="4605" max="4605" width="10.33203125" style="2" customWidth="1"/>
    <col min="4606" max="4606" width="13.33203125" style="2" customWidth="1"/>
    <col min="4607" max="4607" width="5.5546875" style="2" customWidth="1"/>
    <col min="4608" max="4608" width="6.44140625" style="2" customWidth="1"/>
    <col min="4609" max="4609" width="11.6640625" style="2" customWidth="1"/>
    <col min="4610" max="4610" width="10.44140625" style="2" customWidth="1"/>
    <col min="4611" max="4611" width="13.44140625" style="2" customWidth="1"/>
    <col min="4612" max="4857" width="7" style="2"/>
    <col min="4858" max="4858" width="4.109375" style="2" customWidth="1"/>
    <col min="4859" max="4859" width="3.6640625" style="2" customWidth="1"/>
    <col min="4860" max="4860" width="4.88671875" style="2" customWidth="1"/>
    <col min="4861" max="4861" width="10.33203125" style="2" customWidth="1"/>
    <col min="4862" max="4862" width="13.33203125" style="2" customWidth="1"/>
    <col min="4863" max="4863" width="5.5546875" style="2" customWidth="1"/>
    <col min="4864" max="4864" width="6.44140625" style="2" customWidth="1"/>
    <col min="4865" max="4865" width="11.6640625" style="2" customWidth="1"/>
    <col min="4866" max="4866" width="10.44140625" style="2" customWidth="1"/>
    <col min="4867" max="4867" width="13.44140625" style="2" customWidth="1"/>
    <col min="4868" max="5113" width="7" style="2"/>
    <col min="5114" max="5114" width="4.109375" style="2" customWidth="1"/>
    <col min="5115" max="5115" width="3.6640625" style="2" customWidth="1"/>
    <col min="5116" max="5116" width="4.88671875" style="2" customWidth="1"/>
    <col min="5117" max="5117" width="10.33203125" style="2" customWidth="1"/>
    <col min="5118" max="5118" width="13.33203125" style="2" customWidth="1"/>
    <col min="5119" max="5119" width="5.5546875" style="2" customWidth="1"/>
    <col min="5120" max="5120" width="6.44140625" style="2" customWidth="1"/>
    <col min="5121" max="5121" width="11.6640625" style="2" customWidth="1"/>
    <col min="5122" max="5122" width="10.44140625" style="2" customWidth="1"/>
    <col min="5123" max="5123" width="13.44140625" style="2" customWidth="1"/>
    <col min="5124" max="5369" width="7" style="2"/>
    <col min="5370" max="5370" width="4.109375" style="2" customWidth="1"/>
    <col min="5371" max="5371" width="3.6640625" style="2" customWidth="1"/>
    <col min="5372" max="5372" width="4.88671875" style="2" customWidth="1"/>
    <col min="5373" max="5373" width="10.33203125" style="2" customWidth="1"/>
    <col min="5374" max="5374" width="13.33203125" style="2" customWidth="1"/>
    <col min="5375" max="5375" width="5.5546875" style="2" customWidth="1"/>
    <col min="5376" max="5376" width="6.44140625" style="2" customWidth="1"/>
    <col min="5377" max="5377" width="11.6640625" style="2" customWidth="1"/>
    <col min="5378" max="5378" width="10.44140625" style="2" customWidth="1"/>
    <col min="5379" max="5379" width="13.44140625" style="2" customWidth="1"/>
    <col min="5380" max="5625" width="7" style="2"/>
    <col min="5626" max="5626" width="4.109375" style="2" customWidth="1"/>
    <col min="5627" max="5627" width="3.6640625" style="2" customWidth="1"/>
    <col min="5628" max="5628" width="4.88671875" style="2" customWidth="1"/>
    <col min="5629" max="5629" width="10.33203125" style="2" customWidth="1"/>
    <col min="5630" max="5630" width="13.33203125" style="2" customWidth="1"/>
    <col min="5631" max="5631" width="5.5546875" style="2" customWidth="1"/>
    <col min="5632" max="5632" width="6.44140625" style="2" customWidth="1"/>
    <col min="5633" max="5633" width="11.6640625" style="2" customWidth="1"/>
    <col min="5634" max="5634" width="10.44140625" style="2" customWidth="1"/>
    <col min="5635" max="5635" width="13.44140625" style="2" customWidth="1"/>
    <col min="5636" max="5881" width="7" style="2"/>
    <col min="5882" max="5882" width="4.109375" style="2" customWidth="1"/>
    <col min="5883" max="5883" width="3.6640625" style="2" customWidth="1"/>
    <col min="5884" max="5884" width="4.88671875" style="2" customWidth="1"/>
    <col min="5885" max="5885" width="10.33203125" style="2" customWidth="1"/>
    <col min="5886" max="5886" width="13.33203125" style="2" customWidth="1"/>
    <col min="5887" max="5887" width="5.5546875" style="2" customWidth="1"/>
    <col min="5888" max="5888" width="6.44140625" style="2" customWidth="1"/>
    <col min="5889" max="5889" width="11.6640625" style="2" customWidth="1"/>
    <col min="5890" max="5890" width="10.44140625" style="2" customWidth="1"/>
    <col min="5891" max="5891" width="13.44140625" style="2" customWidth="1"/>
    <col min="5892" max="6137" width="7" style="2"/>
    <col min="6138" max="6138" width="4.109375" style="2" customWidth="1"/>
    <col min="6139" max="6139" width="3.6640625" style="2" customWidth="1"/>
    <col min="6140" max="6140" width="4.88671875" style="2" customWidth="1"/>
    <col min="6141" max="6141" width="10.33203125" style="2" customWidth="1"/>
    <col min="6142" max="6142" width="13.33203125" style="2" customWidth="1"/>
    <col min="6143" max="6143" width="5.5546875" style="2" customWidth="1"/>
    <col min="6144" max="6144" width="6.44140625" style="2" customWidth="1"/>
    <col min="6145" max="6145" width="11.6640625" style="2" customWidth="1"/>
    <col min="6146" max="6146" width="10.44140625" style="2" customWidth="1"/>
    <col min="6147" max="6147" width="13.44140625" style="2" customWidth="1"/>
    <col min="6148" max="6393" width="7" style="2"/>
    <col min="6394" max="6394" width="4.109375" style="2" customWidth="1"/>
    <col min="6395" max="6395" width="3.6640625" style="2" customWidth="1"/>
    <col min="6396" max="6396" width="4.88671875" style="2" customWidth="1"/>
    <col min="6397" max="6397" width="10.33203125" style="2" customWidth="1"/>
    <col min="6398" max="6398" width="13.33203125" style="2" customWidth="1"/>
    <col min="6399" max="6399" width="5.5546875" style="2" customWidth="1"/>
    <col min="6400" max="6400" width="6.44140625" style="2" customWidth="1"/>
    <col min="6401" max="6401" width="11.6640625" style="2" customWidth="1"/>
    <col min="6402" max="6402" width="10.44140625" style="2" customWidth="1"/>
    <col min="6403" max="6403" width="13.44140625" style="2" customWidth="1"/>
    <col min="6404" max="6649" width="7" style="2"/>
    <col min="6650" max="6650" width="4.109375" style="2" customWidth="1"/>
    <col min="6651" max="6651" width="3.6640625" style="2" customWidth="1"/>
    <col min="6652" max="6652" width="4.88671875" style="2" customWidth="1"/>
    <col min="6653" max="6653" width="10.33203125" style="2" customWidth="1"/>
    <col min="6654" max="6654" width="13.33203125" style="2" customWidth="1"/>
    <col min="6655" max="6655" width="5.5546875" style="2" customWidth="1"/>
    <col min="6656" max="6656" width="6.44140625" style="2" customWidth="1"/>
    <col min="6657" max="6657" width="11.6640625" style="2" customWidth="1"/>
    <col min="6658" max="6658" width="10.44140625" style="2" customWidth="1"/>
    <col min="6659" max="6659" width="13.44140625" style="2" customWidth="1"/>
    <col min="6660" max="6905" width="7" style="2"/>
    <col min="6906" max="6906" width="4.109375" style="2" customWidth="1"/>
    <col min="6907" max="6907" width="3.6640625" style="2" customWidth="1"/>
    <col min="6908" max="6908" width="4.88671875" style="2" customWidth="1"/>
    <col min="6909" max="6909" width="10.33203125" style="2" customWidth="1"/>
    <col min="6910" max="6910" width="13.33203125" style="2" customWidth="1"/>
    <col min="6911" max="6911" width="5.5546875" style="2" customWidth="1"/>
    <col min="6912" max="6912" width="6.44140625" style="2" customWidth="1"/>
    <col min="6913" max="6913" width="11.6640625" style="2" customWidth="1"/>
    <col min="6914" max="6914" width="10.44140625" style="2" customWidth="1"/>
    <col min="6915" max="6915" width="13.44140625" style="2" customWidth="1"/>
    <col min="6916" max="7161" width="7" style="2"/>
    <col min="7162" max="7162" width="4.109375" style="2" customWidth="1"/>
    <col min="7163" max="7163" width="3.6640625" style="2" customWidth="1"/>
    <col min="7164" max="7164" width="4.88671875" style="2" customWidth="1"/>
    <col min="7165" max="7165" width="10.33203125" style="2" customWidth="1"/>
    <col min="7166" max="7166" width="13.33203125" style="2" customWidth="1"/>
    <col min="7167" max="7167" width="5.5546875" style="2" customWidth="1"/>
    <col min="7168" max="7168" width="6.44140625" style="2" customWidth="1"/>
    <col min="7169" max="7169" width="11.6640625" style="2" customWidth="1"/>
    <col min="7170" max="7170" width="10.44140625" style="2" customWidth="1"/>
    <col min="7171" max="7171" width="13.44140625" style="2" customWidth="1"/>
    <col min="7172" max="7417" width="7" style="2"/>
    <col min="7418" max="7418" width="4.109375" style="2" customWidth="1"/>
    <col min="7419" max="7419" width="3.6640625" style="2" customWidth="1"/>
    <col min="7420" max="7420" width="4.88671875" style="2" customWidth="1"/>
    <col min="7421" max="7421" width="10.33203125" style="2" customWidth="1"/>
    <col min="7422" max="7422" width="13.33203125" style="2" customWidth="1"/>
    <col min="7423" max="7423" width="5.5546875" style="2" customWidth="1"/>
    <col min="7424" max="7424" width="6.44140625" style="2" customWidth="1"/>
    <col min="7425" max="7425" width="11.6640625" style="2" customWidth="1"/>
    <col min="7426" max="7426" width="10.44140625" style="2" customWidth="1"/>
    <col min="7427" max="7427" width="13.44140625" style="2" customWidth="1"/>
    <col min="7428" max="7673" width="7" style="2"/>
    <col min="7674" max="7674" width="4.109375" style="2" customWidth="1"/>
    <col min="7675" max="7675" width="3.6640625" style="2" customWidth="1"/>
    <col min="7676" max="7676" width="4.88671875" style="2" customWidth="1"/>
    <col min="7677" max="7677" width="10.33203125" style="2" customWidth="1"/>
    <col min="7678" max="7678" width="13.33203125" style="2" customWidth="1"/>
    <col min="7679" max="7679" width="5.5546875" style="2" customWidth="1"/>
    <col min="7680" max="7680" width="6.44140625" style="2" customWidth="1"/>
    <col min="7681" max="7681" width="11.6640625" style="2" customWidth="1"/>
    <col min="7682" max="7682" width="10.44140625" style="2" customWidth="1"/>
    <col min="7683" max="7683" width="13.44140625" style="2" customWidth="1"/>
    <col min="7684" max="7929" width="7" style="2"/>
    <col min="7930" max="7930" width="4.109375" style="2" customWidth="1"/>
    <col min="7931" max="7931" width="3.6640625" style="2" customWidth="1"/>
    <col min="7932" max="7932" width="4.88671875" style="2" customWidth="1"/>
    <col min="7933" max="7933" width="10.33203125" style="2" customWidth="1"/>
    <col min="7934" max="7934" width="13.33203125" style="2" customWidth="1"/>
    <col min="7935" max="7935" width="5.5546875" style="2" customWidth="1"/>
    <col min="7936" max="7936" width="6.44140625" style="2" customWidth="1"/>
    <col min="7937" max="7937" width="11.6640625" style="2" customWidth="1"/>
    <col min="7938" max="7938" width="10.44140625" style="2" customWidth="1"/>
    <col min="7939" max="7939" width="13.44140625" style="2" customWidth="1"/>
    <col min="7940" max="8185" width="7" style="2"/>
    <col min="8186" max="8186" width="4.109375" style="2" customWidth="1"/>
    <col min="8187" max="8187" width="3.6640625" style="2" customWidth="1"/>
    <col min="8188" max="8188" width="4.88671875" style="2" customWidth="1"/>
    <col min="8189" max="8189" width="10.33203125" style="2" customWidth="1"/>
    <col min="8190" max="8190" width="13.33203125" style="2" customWidth="1"/>
    <col min="8191" max="8191" width="5.5546875" style="2" customWidth="1"/>
    <col min="8192" max="8192" width="6.44140625" style="2" customWidth="1"/>
    <col min="8193" max="8193" width="11.6640625" style="2" customWidth="1"/>
    <col min="8194" max="8194" width="10.44140625" style="2" customWidth="1"/>
    <col min="8195" max="8195" width="13.44140625" style="2" customWidth="1"/>
    <col min="8196" max="8441" width="7" style="2"/>
    <col min="8442" max="8442" width="4.109375" style="2" customWidth="1"/>
    <col min="8443" max="8443" width="3.6640625" style="2" customWidth="1"/>
    <col min="8444" max="8444" width="4.88671875" style="2" customWidth="1"/>
    <col min="8445" max="8445" width="10.33203125" style="2" customWidth="1"/>
    <col min="8446" max="8446" width="13.33203125" style="2" customWidth="1"/>
    <col min="8447" max="8447" width="5.5546875" style="2" customWidth="1"/>
    <col min="8448" max="8448" width="6.44140625" style="2" customWidth="1"/>
    <col min="8449" max="8449" width="11.6640625" style="2" customWidth="1"/>
    <col min="8450" max="8450" width="10.44140625" style="2" customWidth="1"/>
    <col min="8451" max="8451" width="13.44140625" style="2" customWidth="1"/>
    <col min="8452" max="8697" width="7" style="2"/>
    <col min="8698" max="8698" width="4.109375" style="2" customWidth="1"/>
    <col min="8699" max="8699" width="3.6640625" style="2" customWidth="1"/>
    <col min="8700" max="8700" width="4.88671875" style="2" customWidth="1"/>
    <col min="8701" max="8701" width="10.33203125" style="2" customWidth="1"/>
    <col min="8702" max="8702" width="13.33203125" style="2" customWidth="1"/>
    <col min="8703" max="8703" width="5.5546875" style="2" customWidth="1"/>
    <col min="8704" max="8704" width="6.44140625" style="2" customWidth="1"/>
    <col min="8705" max="8705" width="11.6640625" style="2" customWidth="1"/>
    <col min="8706" max="8706" width="10.44140625" style="2" customWidth="1"/>
    <col min="8707" max="8707" width="13.44140625" style="2" customWidth="1"/>
    <col min="8708" max="8953" width="7" style="2"/>
    <col min="8954" max="8954" width="4.109375" style="2" customWidth="1"/>
    <col min="8955" max="8955" width="3.6640625" style="2" customWidth="1"/>
    <col min="8956" max="8956" width="4.88671875" style="2" customWidth="1"/>
    <col min="8957" max="8957" width="10.33203125" style="2" customWidth="1"/>
    <col min="8958" max="8958" width="13.33203125" style="2" customWidth="1"/>
    <col min="8959" max="8959" width="5.5546875" style="2" customWidth="1"/>
    <col min="8960" max="8960" width="6.44140625" style="2" customWidth="1"/>
    <col min="8961" max="8961" width="11.6640625" style="2" customWidth="1"/>
    <col min="8962" max="8962" width="10.44140625" style="2" customWidth="1"/>
    <col min="8963" max="8963" width="13.44140625" style="2" customWidth="1"/>
    <col min="8964" max="9209" width="7" style="2"/>
    <col min="9210" max="9210" width="4.109375" style="2" customWidth="1"/>
    <col min="9211" max="9211" width="3.6640625" style="2" customWidth="1"/>
    <col min="9212" max="9212" width="4.88671875" style="2" customWidth="1"/>
    <col min="9213" max="9213" width="10.33203125" style="2" customWidth="1"/>
    <col min="9214" max="9214" width="13.33203125" style="2" customWidth="1"/>
    <col min="9215" max="9215" width="5.5546875" style="2" customWidth="1"/>
    <col min="9216" max="9216" width="6.44140625" style="2" customWidth="1"/>
    <col min="9217" max="9217" width="11.6640625" style="2" customWidth="1"/>
    <col min="9218" max="9218" width="10.44140625" style="2" customWidth="1"/>
    <col min="9219" max="9219" width="13.44140625" style="2" customWidth="1"/>
    <col min="9220" max="9465" width="7" style="2"/>
    <col min="9466" max="9466" width="4.109375" style="2" customWidth="1"/>
    <col min="9467" max="9467" width="3.6640625" style="2" customWidth="1"/>
    <col min="9468" max="9468" width="4.88671875" style="2" customWidth="1"/>
    <col min="9469" max="9469" width="10.33203125" style="2" customWidth="1"/>
    <col min="9470" max="9470" width="13.33203125" style="2" customWidth="1"/>
    <col min="9471" max="9471" width="5.5546875" style="2" customWidth="1"/>
    <col min="9472" max="9472" width="6.44140625" style="2" customWidth="1"/>
    <col min="9473" max="9473" width="11.6640625" style="2" customWidth="1"/>
    <col min="9474" max="9474" width="10.44140625" style="2" customWidth="1"/>
    <col min="9475" max="9475" width="13.44140625" style="2" customWidth="1"/>
    <col min="9476" max="9721" width="7" style="2"/>
    <col min="9722" max="9722" width="4.109375" style="2" customWidth="1"/>
    <col min="9723" max="9723" width="3.6640625" style="2" customWidth="1"/>
    <col min="9724" max="9724" width="4.88671875" style="2" customWidth="1"/>
    <col min="9725" max="9725" width="10.33203125" style="2" customWidth="1"/>
    <col min="9726" max="9726" width="13.33203125" style="2" customWidth="1"/>
    <col min="9727" max="9727" width="5.5546875" style="2" customWidth="1"/>
    <col min="9728" max="9728" width="6.44140625" style="2" customWidth="1"/>
    <col min="9729" max="9729" width="11.6640625" style="2" customWidth="1"/>
    <col min="9730" max="9730" width="10.44140625" style="2" customWidth="1"/>
    <col min="9731" max="9731" width="13.44140625" style="2" customWidth="1"/>
    <col min="9732" max="9977" width="7" style="2"/>
    <col min="9978" max="9978" width="4.109375" style="2" customWidth="1"/>
    <col min="9979" max="9979" width="3.6640625" style="2" customWidth="1"/>
    <col min="9980" max="9980" width="4.88671875" style="2" customWidth="1"/>
    <col min="9981" max="9981" width="10.33203125" style="2" customWidth="1"/>
    <col min="9982" max="9982" width="13.33203125" style="2" customWidth="1"/>
    <col min="9983" max="9983" width="5.5546875" style="2" customWidth="1"/>
    <col min="9984" max="9984" width="6.44140625" style="2" customWidth="1"/>
    <col min="9985" max="9985" width="11.6640625" style="2" customWidth="1"/>
    <col min="9986" max="9986" width="10.44140625" style="2" customWidth="1"/>
    <col min="9987" max="9987" width="13.44140625" style="2" customWidth="1"/>
    <col min="9988" max="10233" width="7" style="2"/>
    <col min="10234" max="10234" width="4.109375" style="2" customWidth="1"/>
    <col min="10235" max="10235" width="3.6640625" style="2" customWidth="1"/>
    <col min="10236" max="10236" width="4.88671875" style="2" customWidth="1"/>
    <col min="10237" max="10237" width="10.33203125" style="2" customWidth="1"/>
    <col min="10238" max="10238" width="13.33203125" style="2" customWidth="1"/>
    <col min="10239" max="10239" width="5.5546875" style="2" customWidth="1"/>
    <col min="10240" max="10240" width="6.44140625" style="2" customWidth="1"/>
    <col min="10241" max="10241" width="11.6640625" style="2" customWidth="1"/>
    <col min="10242" max="10242" width="10.44140625" style="2" customWidth="1"/>
    <col min="10243" max="10243" width="13.44140625" style="2" customWidth="1"/>
    <col min="10244" max="10489" width="7" style="2"/>
    <col min="10490" max="10490" width="4.109375" style="2" customWidth="1"/>
    <col min="10491" max="10491" width="3.6640625" style="2" customWidth="1"/>
    <col min="10492" max="10492" width="4.88671875" style="2" customWidth="1"/>
    <col min="10493" max="10493" width="10.33203125" style="2" customWidth="1"/>
    <col min="10494" max="10494" width="13.33203125" style="2" customWidth="1"/>
    <col min="10495" max="10495" width="5.5546875" style="2" customWidth="1"/>
    <col min="10496" max="10496" width="6.44140625" style="2" customWidth="1"/>
    <col min="10497" max="10497" width="11.6640625" style="2" customWidth="1"/>
    <col min="10498" max="10498" width="10.44140625" style="2" customWidth="1"/>
    <col min="10499" max="10499" width="13.44140625" style="2" customWidth="1"/>
    <col min="10500" max="10745" width="7" style="2"/>
    <col min="10746" max="10746" width="4.109375" style="2" customWidth="1"/>
    <col min="10747" max="10747" width="3.6640625" style="2" customWidth="1"/>
    <col min="10748" max="10748" width="4.88671875" style="2" customWidth="1"/>
    <col min="10749" max="10749" width="10.33203125" style="2" customWidth="1"/>
    <col min="10750" max="10750" width="13.33203125" style="2" customWidth="1"/>
    <col min="10751" max="10751" width="5.5546875" style="2" customWidth="1"/>
    <col min="10752" max="10752" width="6.44140625" style="2" customWidth="1"/>
    <col min="10753" max="10753" width="11.6640625" style="2" customWidth="1"/>
    <col min="10754" max="10754" width="10.44140625" style="2" customWidth="1"/>
    <col min="10755" max="10755" width="13.44140625" style="2" customWidth="1"/>
    <col min="10756" max="11001" width="7" style="2"/>
    <col min="11002" max="11002" width="4.109375" style="2" customWidth="1"/>
    <col min="11003" max="11003" width="3.6640625" style="2" customWidth="1"/>
    <col min="11004" max="11004" width="4.88671875" style="2" customWidth="1"/>
    <col min="11005" max="11005" width="10.33203125" style="2" customWidth="1"/>
    <col min="11006" max="11006" width="13.33203125" style="2" customWidth="1"/>
    <col min="11007" max="11007" width="5.5546875" style="2" customWidth="1"/>
    <col min="11008" max="11008" width="6.44140625" style="2" customWidth="1"/>
    <col min="11009" max="11009" width="11.6640625" style="2" customWidth="1"/>
    <col min="11010" max="11010" width="10.44140625" style="2" customWidth="1"/>
    <col min="11011" max="11011" width="13.44140625" style="2" customWidth="1"/>
    <col min="11012" max="11257" width="7" style="2"/>
    <col min="11258" max="11258" width="4.109375" style="2" customWidth="1"/>
    <col min="11259" max="11259" width="3.6640625" style="2" customWidth="1"/>
    <col min="11260" max="11260" width="4.88671875" style="2" customWidth="1"/>
    <col min="11261" max="11261" width="10.33203125" style="2" customWidth="1"/>
    <col min="11262" max="11262" width="13.33203125" style="2" customWidth="1"/>
    <col min="11263" max="11263" width="5.5546875" style="2" customWidth="1"/>
    <col min="11264" max="11264" width="6.44140625" style="2" customWidth="1"/>
    <col min="11265" max="11265" width="11.6640625" style="2" customWidth="1"/>
    <col min="11266" max="11266" width="10.44140625" style="2" customWidth="1"/>
    <col min="11267" max="11267" width="13.44140625" style="2" customWidth="1"/>
    <col min="11268" max="11513" width="7" style="2"/>
    <col min="11514" max="11514" width="4.109375" style="2" customWidth="1"/>
    <col min="11515" max="11515" width="3.6640625" style="2" customWidth="1"/>
    <col min="11516" max="11516" width="4.88671875" style="2" customWidth="1"/>
    <col min="11517" max="11517" width="10.33203125" style="2" customWidth="1"/>
    <col min="11518" max="11518" width="13.33203125" style="2" customWidth="1"/>
    <col min="11519" max="11519" width="5.5546875" style="2" customWidth="1"/>
    <col min="11520" max="11520" width="6.44140625" style="2" customWidth="1"/>
    <col min="11521" max="11521" width="11.6640625" style="2" customWidth="1"/>
    <col min="11522" max="11522" width="10.44140625" style="2" customWidth="1"/>
    <col min="11523" max="11523" width="13.44140625" style="2" customWidth="1"/>
    <col min="11524" max="11769" width="7" style="2"/>
    <col min="11770" max="11770" width="4.109375" style="2" customWidth="1"/>
    <col min="11771" max="11771" width="3.6640625" style="2" customWidth="1"/>
    <col min="11772" max="11772" width="4.88671875" style="2" customWidth="1"/>
    <col min="11773" max="11773" width="10.33203125" style="2" customWidth="1"/>
    <col min="11774" max="11774" width="13.33203125" style="2" customWidth="1"/>
    <col min="11775" max="11775" width="5.5546875" style="2" customWidth="1"/>
    <col min="11776" max="11776" width="6.44140625" style="2" customWidth="1"/>
    <col min="11777" max="11777" width="11.6640625" style="2" customWidth="1"/>
    <col min="11778" max="11778" width="10.44140625" style="2" customWidth="1"/>
    <col min="11779" max="11779" width="13.44140625" style="2" customWidth="1"/>
    <col min="11780" max="12025" width="7" style="2"/>
    <col min="12026" max="12026" width="4.109375" style="2" customWidth="1"/>
    <col min="12027" max="12027" width="3.6640625" style="2" customWidth="1"/>
    <col min="12028" max="12028" width="4.88671875" style="2" customWidth="1"/>
    <col min="12029" max="12029" width="10.33203125" style="2" customWidth="1"/>
    <col min="12030" max="12030" width="13.33203125" style="2" customWidth="1"/>
    <col min="12031" max="12031" width="5.5546875" style="2" customWidth="1"/>
    <col min="12032" max="12032" width="6.44140625" style="2" customWidth="1"/>
    <col min="12033" max="12033" width="11.6640625" style="2" customWidth="1"/>
    <col min="12034" max="12034" width="10.44140625" style="2" customWidth="1"/>
    <col min="12035" max="12035" width="13.44140625" style="2" customWidth="1"/>
    <col min="12036" max="12281" width="7" style="2"/>
    <col min="12282" max="12282" width="4.109375" style="2" customWidth="1"/>
    <col min="12283" max="12283" width="3.6640625" style="2" customWidth="1"/>
    <col min="12284" max="12284" width="4.88671875" style="2" customWidth="1"/>
    <col min="12285" max="12285" width="10.33203125" style="2" customWidth="1"/>
    <col min="12286" max="12286" width="13.33203125" style="2" customWidth="1"/>
    <col min="12287" max="12287" width="5.5546875" style="2" customWidth="1"/>
    <col min="12288" max="12288" width="6.44140625" style="2" customWidth="1"/>
    <col min="12289" max="12289" width="11.6640625" style="2" customWidth="1"/>
    <col min="12290" max="12290" width="10.44140625" style="2" customWidth="1"/>
    <col min="12291" max="12291" width="13.44140625" style="2" customWidth="1"/>
    <col min="12292" max="12537" width="7" style="2"/>
    <col min="12538" max="12538" width="4.109375" style="2" customWidth="1"/>
    <col min="12539" max="12539" width="3.6640625" style="2" customWidth="1"/>
    <col min="12540" max="12540" width="4.88671875" style="2" customWidth="1"/>
    <col min="12541" max="12541" width="10.33203125" style="2" customWidth="1"/>
    <col min="12542" max="12542" width="13.33203125" style="2" customWidth="1"/>
    <col min="12543" max="12543" width="5.5546875" style="2" customWidth="1"/>
    <col min="12544" max="12544" width="6.44140625" style="2" customWidth="1"/>
    <col min="12545" max="12545" width="11.6640625" style="2" customWidth="1"/>
    <col min="12546" max="12546" width="10.44140625" style="2" customWidth="1"/>
    <col min="12547" max="12547" width="13.44140625" style="2" customWidth="1"/>
    <col min="12548" max="12793" width="7" style="2"/>
    <col min="12794" max="12794" width="4.109375" style="2" customWidth="1"/>
    <col min="12795" max="12795" width="3.6640625" style="2" customWidth="1"/>
    <col min="12796" max="12796" width="4.88671875" style="2" customWidth="1"/>
    <col min="12797" max="12797" width="10.33203125" style="2" customWidth="1"/>
    <col min="12798" max="12798" width="13.33203125" style="2" customWidth="1"/>
    <col min="12799" max="12799" width="5.5546875" style="2" customWidth="1"/>
    <col min="12800" max="12800" width="6.44140625" style="2" customWidth="1"/>
    <col min="12801" max="12801" width="11.6640625" style="2" customWidth="1"/>
    <col min="12802" max="12802" width="10.44140625" style="2" customWidth="1"/>
    <col min="12803" max="12803" width="13.44140625" style="2" customWidth="1"/>
    <col min="12804" max="13049" width="7" style="2"/>
    <col min="13050" max="13050" width="4.109375" style="2" customWidth="1"/>
    <col min="13051" max="13051" width="3.6640625" style="2" customWidth="1"/>
    <col min="13052" max="13052" width="4.88671875" style="2" customWidth="1"/>
    <col min="13053" max="13053" width="10.33203125" style="2" customWidth="1"/>
    <col min="13054" max="13054" width="13.33203125" style="2" customWidth="1"/>
    <col min="13055" max="13055" width="5.5546875" style="2" customWidth="1"/>
    <col min="13056" max="13056" width="6.44140625" style="2" customWidth="1"/>
    <col min="13057" max="13057" width="11.6640625" style="2" customWidth="1"/>
    <col min="13058" max="13058" width="10.44140625" style="2" customWidth="1"/>
    <col min="13059" max="13059" width="13.44140625" style="2" customWidth="1"/>
    <col min="13060" max="13305" width="7" style="2"/>
    <col min="13306" max="13306" width="4.109375" style="2" customWidth="1"/>
    <col min="13307" max="13307" width="3.6640625" style="2" customWidth="1"/>
    <col min="13308" max="13308" width="4.88671875" style="2" customWidth="1"/>
    <col min="13309" max="13309" width="10.33203125" style="2" customWidth="1"/>
    <col min="13310" max="13310" width="13.33203125" style="2" customWidth="1"/>
    <col min="13311" max="13311" width="5.5546875" style="2" customWidth="1"/>
    <col min="13312" max="13312" width="6.44140625" style="2" customWidth="1"/>
    <col min="13313" max="13313" width="11.6640625" style="2" customWidth="1"/>
    <col min="13314" max="13314" width="10.44140625" style="2" customWidth="1"/>
    <col min="13315" max="13315" width="13.44140625" style="2" customWidth="1"/>
    <col min="13316" max="13561" width="7" style="2"/>
    <col min="13562" max="13562" width="4.109375" style="2" customWidth="1"/>
    <col min="13563" max="13563" width="3.6640625" style="2" customWidth="1"/>
    <col min="13564" max="13564" width="4.88671875" style="2" customWidth="1"/>
    <col min="13565" max="13565" width="10.33203125" style="2" customWidth="1"/>
    <col min="13566" max="13566" width="13.33203125" style="2" customWidth="1"/>
    <col min="13567" max="13567" width="5.5546875" style="2" customWidth="1"/>
    <col min="13568" max="13568" width="6.44140625" style="2" customWidth="1"/>
    <col min="13569" max="13569" width="11.6640625" style="2" customWidth="1"/>
    <col min="13570" max="13570" width="10.44140625" style="2" customWidth="1"/>
    <col min="13571" max="13571" width="13.44140625" style="2" customWidth="1"/>
    <col min="13572" max="13817" width="7" style="2"/>
    <col min="13818" max="13818" width="4.109375" style="2" customWidth="1"/>
    <col min="13819" max="13819" width="3.6640625" style="2" customWidth="1"/>
    <col min="13820" max="13820" width="4.88671875" style="2" customWidth="1"/>
    <col min="13821" max="13821" width="10.33203125" style="2" customWidth="1"/>
    <col min="13822" max="13822" width="13.33203125" style="2" customWidth="1"/>
    <col min="13823" max="13823" width="5.5546875" style="2" customWidth="1"/>
    <col min="13824" max="13824" width="6.44140625" style="2" customWidth="1"/>
    <col min="13825" max="13825" width="11.6640625" style="2" customWidth="1"/>
    <col min="13826" max="13826" width="10.44140625" style="2" customWidth="1"/>
    <col min="13827" max="13827" width="13.44140625" style="2" customWidth="1"/>
    <col min="13828" max="14073" width="7" style="2"/>
    <col min="14074" max="14074" width="4.109375" style="2" customWidth="1"/>
    <col min="14075" max="14075" width="3.6640625" style="2" customWidth="1"/>
    <col min="14076" max="14076" width="4.88671875" style="2" customWidth="1"/>
    <col min="14077" max="14077" width="10.33203125" style="2" customWidth="1"/>
    <col min="14078" max="14078" width="13.33203125" style="2" customWidth="1"/>
    <col min="14079" max="14079" width="5.5546875" style="2" customWidth="1"/>
    <col min="14080" max="14080" width="6.44140625" style="2" customWidth="1"/>
    <col min="14081" max="14081" width="11.6640625" style="2" customWidth="1"/>
    <col min="14082" max="14082" width="10.44140625" style="2" customWidth="1"/>
    <col min="14083" max="14083" width="13.44140625" style="2" customWidth="1"/>
    <col min="14084" max="14329" width="7" style="2"/>
    <col min="14330" max="14330" width="4.109375" style="2" customWidth="1"/>
    <col min="14331" max="14331" width="3.6640625" style="2" customWidth="1"/>
    <col min="14332" max="14332" width="4.88671875" style="2" customWidth="1"/>
    <col min="14333" max="14333" width="10.33203125" style="2" customWidth="1"/>
    <col min="14334" max="14334" width="13.33203125" style="2" customWidth="1"/>
    <col min="14335" max="14335" width="5.5546875" style="2" customWidth="1"/>
    <col min="14336" max="14336" width="6.44140625" style="2" customWidth="1"/>
    <col min="14337" max="14337" width="11.6640625" style="2" customWidth="1"/>
    <col min="14338" max="14338" width="10.44140625" style="2" customWidth="1"/>
    <col min="14339" max="14339" width="13.44140625" style="2" customWidth="1"/>
    <col min="14340" max="14585" width="7" style="2"/>
    <col min="14586" max="14586" width="4.109375" style="2" customWidth="1"/>
    <col min="14587" max="14587" width="3.6640625" style="2" customWidth="1"/>
    <col min="14588" max="14588" width="4.88671875" style="2" customWidth="1"/>
    <col min="14589" max="14589" width="10.33203125" style="2" customWidth="1"/>
    <col min="14590" max="14590" width="13.33203125" style="2" customWidth="1"/>
    <col min="14591" max="14591" width="5.5546875" style="2" customWidth="1"/>
    <col min="14592" max="14592" width="6.44140625" style="2" customWidth="1"/>
    <col min="14593" max="14593" width="11.6640625" style="2" customWidth="1"/>
    <col min="14594" max="14594" width="10.44140625" style="2" customWidth="1"/>
    <col min="14595" max="14595" width="13.44140625" style="2" customWidth="1"/>
    <col min="14596" max="14841" width="7" style="2"/>
    <col min="14842" max="14842" width="4.109375" style="2" customWidth="1"/>
    <col min="14843" max="14843" width="3.6640625" style="2" customWidth="1"/>
    <col min="14844" max="14844" width="4.88671875" style="2" customWidth="1"/>
    <col min="14845" max="14845" width="10.33203125" style="2" customWidth="1"/>
    <col min="14846" max="14846" width="13.33203125" style="2" customWidth="1"/>
    <col min="14847" max="14847" width="5.5546875" style="2" customWidth="1"/>
    <col min="14848" max="14848" width="6.44140625" style="2" customWidth="1"/>
    <col min="14849" max="14849" width="11.6640625" style="2" customWidth="1"/>
    <col min="14850" max="14850" width="10.44140625" style="2" customWidth="1"/>
    <col min="14851" max="14851" width="13.44140625" style="2" customWidth="1"/>
    <col min="14852" max="15097" width="7" style="2"/>
    <col min="15098" max="15098" width="4.109375" style="2" customWidth="1"/>
    <col min="15099" max="15099" width="3.6640625" style="2" customWidth="1"/>
    <col min="15100" max="15100" width="4.88671875" style="2" customWidth="1"/>
    <col min="15101" max="15101" width="10.33203125" style="2" customWidth="1"/>
    <col min="15102" max="15102" width="13.33203125" style="2" customWidth="1"/>
    <col min="15103" max="15103" width="5.5546875" style="2" customWidth="1"/>
    <col min="15104" max="15104" width="6.44140625" style="2" customWidth="1"/>
    <col min="15105" max="15105" width="11.6640625" style="2" customWidth="1"/>
    <col min="15106" max="15106" width="10.44140625" style="2" customWidth="1"/>
    <col min="15107" max="15107" width="13.44140625" style="2" customWidth="1"/>
    <col min="15108" max="15353" width="7" style="2"/>
    <col min="15354" max="15354" width="4.109375" style="2" customWidth="1"/>
    <col min="15355" max="15355" width="3.6640625" style="2" customWidth="1"/>
    <col min="15356" max="15356" width="4.88671875" style="2" customWidth="1"/>
    <col min="15357" max="15357" width="10.33203125" style="2" customWidth="1"/>
    <col min="15358" max="15358" width="13.33203125" style="2" customWidth="1"/>
    <col min="15359" max="15359" width="5.5546875" style="2" customWidth="1"/>
    <col min="15360" max="15360" width="6.44140625" style="2" customWidth="1"/>
    <col min="15361" max="15361" width="11.6640625" style="2" customWidth="1"/>
    <col min="15362" max="15362" width="10.44140625" style="2" customWidth="1"/>
    <col min="15363" max="15363" width="13.44140625" style="2" customWidth="1"/>
    <col min="15364" max="15609" width="7" style="2"/>
    <col min="15610" max="15610" width="4.109375" style="2" customWidth="1"/>
    <col min="15611" max="15611" width="3.6640625" style="2" customWidth="1"/>
    <col min="15612" max="15612" width="4.88671875" style="2" customWidth="1"/>
    <col min="15613" max="15613" width="10.33203125" style="2" customWidth="1"/>
    <col min="15614" max="15614" width="13.33203125" style="2" customWidth="1"/>
    <col min="15615" max="15615" width="5.5546875" style="2" customWidth="1"/>
    <col min="15616" max="15616" width="6.44140625" style="2" customWidth="1"/>
    <col min="15617" max="15617" width="11.6640625" style="2" customWidth="1"/>
    <col min="15618" max="15618" width="10.44140625" style="2" customWidth="1"/>
    <col min="15619" max="15619" width="13.44140625" style="2" customWidth="1"/>
    <col min="15620" max="15865" width="7" style="2"/>
    <col min="15866" max="15866" width="4.109375" style="2" customWidth="1"/>
    <col min="15867" max="15867" width="3.6640625" style="2" customWidth="1"/>
    <col min="15868" max="15868" width="4.88671875" style="2" customWidth="1"/>
    <col min="15869" max="15869" width="10.33203125" style="2" customWidth="1"/>
    <col min="15870" max="15870" width="13.33203125" style="2" customWidth="1"/>
    <col min="15871" max="15871" width="5.5546875" style="2" customWidth="1"/>
    <col min="15872" max="15872" width="6.44140625" style="2" customWidth="1"/>
    <col min="15873" max="15873" width="11.6640625" style="2" customWidth="1"/>
    <col min="15874" max="15874" width="10.44140625" style="2" customWidth="1"/>
    <col min="15875" max="15875" width="13.44140625" style="2" customWidth="1"/>
    <col min="15876" max="16121" width="7" style="2"/>
    <col min="16122" max="16122" width="4.109375" style="2" customWidth="1"/>
    <col min="16123" max="16123" width="3.6640625" style="2" customWidth="1"/>
    <col min="16124" max="16124" width="4.88671875" style="2" customWidth="1"/>
    <col min="16125" max="16125" width="10.33203125" style="2" customWidth="1"/>
    <col min="16126" max="16126" width="13.33203125" style="2" customWidth="1"/>
    <col min="16127" max="16127" width="5.5546875" style="2" customWidth="1"/>
    <col min="16128" max="16128" width="6.44140625" style="2" customWidth="1"/>
    <col min="16129" max="16129" width="11.6640625" style="2" customWidth="1"/>
    <col min="16130" max="16130" width="10.44140625" style="2" customWidth="1"/>
    <col min="16131" max="16131" width="13.44140625" style="2" customWidth="1"/>
    <col min="16132" max="16384" width="7" style="2"/>
  </cols>
  <sheetData>
    <row r="1" spans="1:24" x14ac:dyDescent="0.3">
      <c r="A1" s="85" t="s">
        <v>0</v>
      </c>
      <c r="B1" s="85" t="s">
        <v>61</v>
      </c>
      <c r="C1" s="86" t="s">
        <v>45</v>
      </c>
      <c r="D1" s="86" t="s">
        <v>1745</v>
      </c>
      <c r="E1" s="86" t="s">
        <v>1733</v>
      </c>
      <c r="F1" s="86" t="s">
        <v>1</v>
      </c>
      <c r="G1" s="86" t="s">
        <v>1761</v>
      </c>
      <c r="H1" s="102" t="s">
        <v>58</v>
      </c>
      <c r="I1" s="87" t="s">
        <v>756</v>
      </c>
      <c r="J1" s="87" t="s">
        <v>759</v>
      </c>
      <c r="K1" s="87" t="s">
        <v>760</v>
      </c>
      <c r="L1" s="87" t="s">
        <v>761</v>
      </c>
      <c r="M1" s="87" t="s">
        <v>774</v>
      </c>
      <c r="N1" s="87" t="s">
        <v>776</v>
      </c>
      <c r="O1" s="87" t="s">
        <v>778</v>
      </c>
      <c r="P1" s="86" t="s">
        <v>1747</v>
      </c>
      <c r="Q1" s="86" t="s">
        <v>1746</v>
      </c>
      <c r="R1" s="86" t="s">
        <v>1121</v>
      </c>
      <c r="S1" s="86" t="s">
        <v>817</v>
      </c>
      <c r="T1" s="86" t="s">
        <v>2</v>
      </c>
      <c r="U1" s="86" t="s">
        <v>57</v>
      </c>
      <c r="V1" s="88" t="s">
        <v>1148</v>
      </c>
      <c r="W1" s="86" t="s">
        <v>54</v>
      </c>
      <c r="X1" s="145" t="s">
        <v>1734</v>
      </c>
    </row>
    <row r="2" spans="1:24" s="80" customFormat="1" ht="37.5" x14ac:dyDescent="0.3">
      <c r="A2" s="35">
        <v>292</v>
      </c>
      <c r="B2" s="95" t="s">
        <v>65</v>
      </c>
      <c r="C2" s="155" t="str">
        <f>VLOOKUP(F2,'Chị VA gửi 01.12.2025'!$B$2:$U$184,7,0)</f>
        <v>70697124000929</v>
      </c>
      <c r="D2" s="94" t="str">
        <f>VLOOKUP(F2,'Chị VA gửi 01.12.2025'!$B$2:$U$184,14,0)</f>
        <v>0707966066</v>
      </c>
      <c r="E2" s="94" t="s">
        <v>641</v>
      </c>
      <c r="F2" s="94" t="s">
        <v>184</v>
      </c>
      <c r="G2" s="94" t="s">
        <v>1781</v>
      </c>
      <c r="H2" s="95" t="s">
        <v>1026</v>
      </c>
      <c r="I2" s="83">
        <v>1460320</v>
      </c>
      <c r="J2" s="83">
        <v>1581569</v>
      </c>
      <c r="K2" s="83">
        <v>3489465</v>
      </c>
      <c r="L2" s="83">
        <v>3928103</v>
      </c>
      <c r="M2" s="83">
        <v>4437872</v>
      </c>
      <c r="N2" s="83">
        <v>3817325</v>
      </c>
      <c r="O2" s="83">
        <v>4220899</v>
      </c>
      <c r="P2" s="83">
        <v>2221711</v>
      </c>
      <c r="Q2" s="83">
        <v>2599128</v>
      </c>
      <c r="R2" s="83">
        <v>2808389</v>
      </c>
      <c r="S2" s="83">
        <v>4090111</v>
      </c>
      <c r="T2" s="94" t="s">
        <v>286</v>
      </c>
      <c r="U2" s="94" t="s">
        <v>9</v>
      </c>
      <c r="V2" s="94"/>
      <c r="W2" s="101">
        <v>231200117595</v>
      </c>
      <c r="X2" s="94"/>
    </row>
    <row r="3" spans="1:24" s="80" customFormat="1" ht="37.5" x14ac:dyDescent="0.3">
      <c r="A3" s="35">
        <v>290</v>
      </c>
      <c r="B3" s="95" t="s">
        <v>65</v>
      </c>
      <c r="C3" s="157" t="s">
        <v>1888</v>
      </c>
      <c r="D3" s="154" t="str">
        <f>VLOOKUP(F3,'Chị VA gửi 01.12.2025'!$B$2:$U$184,14,0)</f>
        <v>0707966066</v>
      </c>
      <c r="E3" s="94" t="s">
        <v>641</v>
      </c>
      <c r="F3" s="94" t="s">
        <v>180</v>
      </c>
      <c r="G3" s="94" t="s">
        <v>1834</v>
      </c>
      <c r="H3" s="95" t="s">
        <v>1024</v>
      </c>
      <c r="I3" s="96"/>
      <c r="J3" s="83">
        <v>136022</v>
      </c>
      <c r="K3" s="83">
        <v>1207122</v>
      </c>
      <c r="L3" s="83">
        <v>2159287</v>
      </c>
      <c r="M3" s="83">
        <v>3423733</v>
      </c>
      <c r="N3" s="83">
        <v>2875651</v>
      </c>
      <c r="O3" s="83">
        <v>3297910</v>
      </c>
      <c r="P3" s="83">
        <v>2333815</v>
      </c>
      <c r="Q3" s="83">
        <v>2292710</v>
      </c>
      <c r="R3" s="83">
        <v>1687349</v>
      </c>
      <c r="S3" s="83">
        <v>3032597</v>
      </c>
      <c r="T3" s="94" t="s">
        <v>286</v>
      </c>
      <c r="U3" s="94" t="s">
        <v>9</v>
      </c>
      <c r="V3" s="94"/>
      <c r="W3" s="101">
        <v>231200117598</v>
      </c>
      <c r="X3" s="94"/>
    </row>
    <row r="4" spans="1:24" s="80" customFormat="1" ht="37.5" x14ac:dyDescent="0.3">
      <c r="A4" s="35">
        <v>288</v>
      </c>
      <c r="B4" s="95" t="s">
        <v>65</v>
      </c>
      <c r="C4" s="155" t="str">
        <f>VLOOKUP(F4,'Chị VA gửi 01.12.2025'!$B$2:$U$184,7,0)</f>
        <v>70697124000931</v>
      </c>
      <c r="D4" s="94" t="str">
        <f>VLOOKUP(F4,'Chị VA gửi 01.12.2025'!$B$2:$U$184,14,0)</f>
        <v>0707966066</v>
      </c>
      <c r="E4" s="94" t="s">
        <v>641</v>
      </c>
      <c r="F4" s="161" t="s">
        <v>181</v>
      </c>
      <c r="G4" s="94" t="s">
        <v>1820</v>
      </c>
      <c r="H4" s="95" t="s">
        <v>1022</v>
      </c>
      <c r="I4" s="83">
        <v>530334</v>
      </c>
      <c r="J4" s="83">
        <v>576666</v>
      </c>
      <c r="K4" s="83">
        <v>1090006</v>
      </c>
      <c r="L4" s="83">
        <v>920821</v>
      </c>
      <c r="M4" s="83">
        <v>991509</v>
      </c>
      <c r="N4" s="83">
        <v>766282</v>
      </c>
      <c r="O4" s="83">
        <v>753330</v>
      </c>
      <c r="P4" s="83">
        <v>665909</v>
      </c>
      <c r="Q4" s="83">
        <v>932526</v>
      </c>
      <c r="R4" s="83">
        <v>852930</v>
      </c>
      <c r="S4" s="83">
        <v>899964</v>
      </c>
      <c r="T4" s="94" t="s">
        <v>286</v>
      </c>
      <c r="U4" s="94" t="s">
        <v>9</v>
      </c>
      <c r="V4" s="94"/>
      <c r="W4" s="101">
        <v>231200117599</v>
      </c>
      <c r="X4" s="94"/>
    </row>
    <row r="5" spans="1:24" s="80" customFormat="1" ht="37.5" x14ac:dyDescent="0.3">
      <c r="A5" s="35">
        <v>291</v>
      </c>
      <c r="B5" s="95" t="s">
        <v>65</v>
      </c>
      <c r="C5" s="157" t="s">
        <v>1886</v>
      </c>
      <c r="D5" s="94" t="str">
        <f>VLOOKUP(F5,'Chị VA gửi 01.12.2025'!$B$2:$U$184,14,0)</f>
        <v>0707966066</v>
      </c>
      <c r="E5" s="94" t="s">
        <v>641</v>
      </c>
      <c r="F5" s="94" t="s">
        <v>182</v>
      </c>
      <c r="G5" s="94" t="s">
        <v>1773</v>
      </c>
      <c r="H5" s="95" t="s">
        <v>1025</v>
      </c>
      <c r="I5" s="83">
        <v>820691</v>
      </c>
      <c r="J5" s="83">
        <v>1221387</v>
      </c>
      <c r="K5" s="83">
        <v>2398220</v>
      </c>
      <c r="L5" s="83">
        <v>2473109</v>
      </c>
      <c r="M5" s="83">
        <v>4013771</v>
      </c>
      <c r="N5" s="83">
        <v>3585643</v>
      </c>
      <c r="O5" s="83">
        <v>4015375</v>
      </c>
      <c r="P5" s="83">
        <v>2797178</v>
      </c>
      <c r="Q5" s="83">
        <v>3593117</v>
      </c>
      <c r="R5" s="83">
        <v>3174595</v>
      </c>
      <c r="S5" s="83">
        <v>3880850</v>
      </c>
      <c r="T5" s="94" t="s">
        <v>286</v>
      </c>
      <c r="U5" s="94" t="s">
        <v>9</v>
      </c>
      <c r="V5" s="94"/>
      <c r="W5" s="101">
        <v>231200117600</v>
      </c>
      <c r="X5" s="94"/>
    </row>
    <row r="6" spans="1:24" s="80" customFormat="1" ht="37.5" x14ac:dyDescent="0.3">
      <c r="A6" s="35">
        <v>289</v>
      </c>
      <c r="B6" s="95" t="s">
        <v>65</v>
      </c>
      <c r="C6" s="157" t="s">
        <v>1885</v>
      </c>
      <c r="D6" s="154" t="str">
        <f>VLOOKUP(F6,'Chị VA gửi 01.12.2025'!$B$2:$U$184,14,0)</f>
        <v>0707966066</v>
      </c>
      <c r="E6" s="94" t="s">
        <v>641</v>
      </c>
      <c r="F6" s="94" t="s">
        <v>183</v>
      </c>
      <c r="G6" s="94" t="s">
        <v>1827</v>
      </c>
      <c r="H6" s="95" t="s">
        <v>1023</v>
      </c>
      <c r="I6" s="96"/>
      <c r="J6" s="96"/>
      <c r="K6" s="83">
        <v>8178</v>
      </c>
      <c r="L6" s="83">
        <v>57244</v>
      </c>
      <c r="M6" s="83">
        <v>25418</v>
      </c>
      <c r="N6" s="83">
        <v>2442182</v>
      </c>
      <c r="O6" s="83">
        <v>4508633</v>
      </c>
      <c r="P6" s="83">
        <v>3081175</v>
      </c>
      <c r="Q6" s="83">
        <v>3395066</v>
      </c>
      <c r="R6" s="83">
        <v>3058754</v>
      </c>
      <c r="S6" s="83">
        <v>3798641</v>
      </c>
      <c r="T6" s="94" t="s">
        <v>286</v>
      </c>
      <c r="U6" s="94" t="s">
        <v>9</v>
      </c>
      <c r="V6" s="94"/>
      <c r="W6" s="101">
        <v>231200117593</v>
      </c>
      <c r="X6" s="94"/>
    </row>
    <row r="7" spans="1:24" s="80" customFormat="1" ht="37.5" x14ac:dyDescent="0.3">
      <c r="A7" s="35">
        <v>293</v>
      </c>
      <c r="B7" s="95" t="s">
        <v>65</v>
      </c>
      <c r="C7" s="157" t="s">
        <v>1887</v>
      </c>
      <c r="D7" s="154" t="str">
        <f>VLOOKUP(F7,'Chị VA gửi 01.12.2025'!$B$2:$U$184,14,0)</f>
        <v>0707966066</v>
      </c>
      <c r="E7" s="94" t="s">
        <v>641</v>
      </c>
      <c r="F7" s="94" t="s">
        <v>185</v>
      </c>
      <c r="G7" s="94" t="s">
        <v>1788</v>
      </c>
      <c r="H7" s="95" t="s">
        <v>1027</v>
      </c>
      <c r="I7" s="83">
        <v>2252007</v>
      </c>
      <c r="J7" s="83">
        <v>3132849</v>
      </c>
      <c r="K7" s="83">
        <v>6181916</v>
      </c>
      <c r="L7" s="83">
        <v>5333170</v>
      </c>
      <c r="M7" s="83">
        <v>6546996</v>
      </c>
      <c r="N7" s="83">
        <v>6552662</v>
      </c>
      <c r="O7" s="83">
        <v>8805953</v>
      </c>
      <c r="P7" s="83">
        <v>6448032</v>
      </c>
      <c r="Q7" s="83">
        <v>7479389</v>
      </c>
      <c r="R7" s="83">
        <v>6380770</v>
      </c>
      <c r="S7" s="83">
        <v>7520494</v>
      </c>
      <c r="T7" s="94" t="s">
        <v>286</v>
      </c>
      <c r="U7" s="94" t="s">
        <v>9</v>
      </c>
      <c r="V7" s="94"/>
      <c r="W7" s="101">
        <v>231200117596</v>
      </c>
      <c r="X7" s="94"/>
    </row>
    <row r="8" spans="1:24" s="80" customFormat="1" ht="37.5" x14ac:dyDescent="0.3">
      <c r="A8" s="35">
        <v>287</v>
      </c>
      <c r="B8" s="95" t="s">
        <v>65</v>
      </c>
      <c r="C8" s="155" t="str">
        <f>VLOOKUP(F8,'Chị VA gửi 01.12.2025'!$B$2:$U$184,7,0)</f>
        <v>70697124000936</v>
      </c>
      <c r="D8" s="94" t="str">
        <f>VLOOKUP(F8,'Chị VA gửi 01.12.2025'!$B$2:$U$184,14,0)</f>
        <v>0707966066</v>
      </c>
      <c r="E8" s="94" t="s">
        <v>641</v>
      </c>
      <c r="F8" s="94" t="s">
        <v>179</v>
      </c>
      <c r="G8" s="94" t="s">
        <v>1814</v>
      </c>
      <c r="H8" s="95" t="s">
        <v>1021</v>
      </c>
      <c r="I8" s="83">
        <v>761994</v>
      </c>
      <c r="J8" s="83">
        <v>900104</v>
      </c>
      <c r="K8" s="83">
        <v>1492415</v>
      </c>
      <c r="L8" s="83">
        <v>1524511</v>
      </c>
      <c r="M8" s="83">
        <v>1130793</v>
      </c>
      <c r="N8" s="83">
        <v>972324</v>
      </c>
      <c r="O8" s="83">
        <v>1164197</v>
      </c>
      <c r="P8" s="83">
        <v>1022976</v>
      </c>
      <c r="Q8" s="83">
        <v>1084482</v>
      </c>
      <c r="R8" s="83">
        <v>856548</v>
      </c>
      <c r="S8" s="83">
        <v>1153224</v>
      </c>
      <c r="T8" s="94" t="s">
        <v>286</v>
      </c>
      <c r="U8" s="94" t="s">
        <v>9</v>
      </c>
      <c r="V8" s="94"/>
      <c r="W8" s="101">
        <v>231200117594</v>
      </c>
      <c r="X8" s="94"/>
    </row>
    <row r="9" spans="1:24" s="81" customFormat="1" ht="37.5" x14ac:dyDescent="0.3">
      <c r="A9" s="35">
        <v>232</v>
      </c>
      <c r="B9" s="99" t="s">
        <v>65</v>
      </c>
      <c r="C9" s="158" t="s">
        <v>1854</v>
      </c>
      <c r="D9" s="153" t="str">
        <f>VLOOKUP(F9,'Chị VA gửi 01.12.2025'!$B$2:$U$184,14,0)</f>
        <v>0707966066</v>
      </c>
      <c r="E9" s="50" t="s">
        <v>775</v>
      </c>
      <c r="F9" s="159" t="s">
        <v>286</v>
      </c>
      <c r="G9" s="55" t="s">
        <v>1782</v>
      </c>
      <c r="H9" s="99" t="s">
        <v>966</v>
      </c>
      <c r="I9" s="100"/>
      <c r="J9" s="100"/>
      <c r="K9" s="100"/>
      <c r="L9" s="100"/>
      <c r="M9" s="100"/>
      <c r="N9" s="83">
        <v>10714</v>
      </c>
      <c r="O9" s="100"/>
      <c r="P9" s="55"/>
      <c r="Q9" s="55"/>
      <c r="R9" s="84">
        <v>57853</v>
      </c>
      <c r="S9" s="55"/>
      <c r="T9" s="55" t="s">
        <v>286</v>
      </c>
      <c r="U9" s="55" t="s">
        <v>9</v>
      </c>
      <c r="V9" s="55"/>
      <c r="W9" s="55" t="s">
        <v>536</v>
      </c>
      <c r="X9" s="55" t="s">
        <v>361</v>
      </c>
    </row>
    <row r="10" spans="1:24" s="81" customFormat="1" ht="37.5" x14ac:dyDescent="0.3">
      <c r="A10" s="35">
        <v>233</v>
      </c>
      <c r="B10" s="99" t="s">
        <v>65</v>
      </c>
      <c r="C10" s="158" t="s">
        <v>1872</v>
      </c>
      <c r="D10" s="153" t="str">
        <f>VLOOKUP(F10,'Chị VA gửi 01.12.2025'!$B$2:$U$184,14,0)</f>
        <v>0707966066</v>
      </c>
      <c r="E10" s="50" t="s">
        <v>775</v>
      </c>
      <c r="F10" s="55" t="s">
        <v>287</v>
      </c>
      <c r="G10" s="55" t="s">
        <v>1789</v>
      </c>
      <c r="H10" s="99" t="s">
        <v>967</v>
      </c>
      <c r="I10" s="100"/>
      <c r="J10" s="100"/>
      <c r="K10" s="83">
        <v>14311</v>
      </c>
      <c r="L10" s="100"/>
      <c r="M10" s="100"/>
      <c r="N10" s="83">
        <v>14999</v>
      </c>
      <c r="O10" s="100"/>
      <c r="P10" s="55"/>
      <c r="Q10" s="55"/>
      <c r="R10" s="84">
        <v>27855</v>
      </c>
      <c r="S10" s="55"/>
      <c r="T10" s="55" t="s">
        <v>286</v>
      </c>
      <c r="U10" s="55" t="s">
        <v>9</v>
      </c>
      <c r="V10" s="55"/>
      <c r="W10" s="55" t="s">
        <v>537</v>
      </c>
      <c r="X10" s="55" t="s">
        <v>362</v>
      </c>
    </row>
    <row r="11" spans="1:24" s="81" customFormat="1" ht="37.5" x14ac:dyDescent="0.3">
      <c r="A11" s="35">
        <v>234</v>
      </c>
      <c r="B11" s="99" t="s">
        <v>65</v>
      </c>
      <c r="C11" s="158" t="s">
        <v>1873</v>
      </c>
      <c r="D11" s="153" t="str">
        <f>VLOOKUP(F11,'Chị VA gửi 01.12.2025'!$B$2:$U$184,14,0)</f>
        <v>0707966066</v>
      </c>
      <c r="E11" s="50" t="s">
        <v>775</v>
      </c>
      <c r="F11" s="55" t="s">
        <v>288</v>
      </c>
      <c r="G11" s="55" t="s">
        <v>1795</v>
      </c>
      <c r="H11" s="99" t="s">
        <v>968</v>
      </c>
      <c r="I11" s="100"/>
      <c r="J11" s="100"/>
      <c r="K11" s="83">
        <v>2044</v>
      </c>
      <c r="L11" s="100"/>
      <c r="M11" s="100"/>
      <c r="N11" s="100"/>
      <c r="O11" s="83">
        <v>32141</v>
      </c>
      <c r="P11" s="83"/>
      <c r="Q11" s="83">
        <v>6428</v>
      </c>
      <c r="R11" s="55"/>
      <c r="S11" s="55"/>
      <c r="T11" s="55" t="s">
        <v>286</v>
      </c>
      <c r="U11" s="55" t="s">
        <v>9</v>
      </c>
      <c r="V11" s="55"/>
      <c r="W11" s="55" t="s">
        <v>538</v>
      </c>
      <c r="X11" s="55" t="s">
        <v>363</v>
      </c>
    </row>
    <row r="12" spans="1:24" s="81" customFormat="1" ht="37.5" x14ac:dyDescent="0.3">
      <c r="A12" s="35">
        <v>235</v>
      </c>
      <c r="B12" s="99" t="s">
        <v>65</v>
      </c>
      <c r="C12" s="158" t="s">
        <v>1862</v>
      </c>
      <c r="D12" s="153" t="str">
        <f>VLOOKUP(F12,'Chị VA gửi 01.12.2025'!$B$2:$U$184,14,0)</f>
        <v>0707966066</v>
      </c>
      <c r="E12" s="50" t="s">
        <v>775</v>
      </c>
      <c r="F12" s="55" t="s">
        <v>289</v>
      </c>
      <c r="G12" s="55" t="s">
        <v>1801</v>
      </c>
      <c r="H12" s="99" t="s">
        <v>969</v>
      </c>
      <c r="I12" s="100"/>
      <c r="J12" s="100"/>
      <c r="K12" s="83">
        <v>2044</v>
      </c>
      <c r="L12" s="100"/>
      <c r="M12" s="100"/>
      <c r="N12" s="83">
        <v>6428</v>
      </c>
      <c r="O12" s="100"/>
      <c r="P12" s="55"/>
      <c r="Q12" s="55"/>
      <c r="R12" s="84">
        <v>53568</v>
      </c>
      <c r="S12" s="55"/>
      <c r="T12" s="55" t="s">
        <v>286</v>
      </c>
      <c r="U12" s="55" t="s">
        <v>9</v>
      </c>
      <c r="V12" s="55"/>
      <c r="W12" s="55" t="s">
        <v>539</v>
      </c>
      <c r="X12" s="55" t="s">
        <v>364</v>
      </c>
    </row>
    <row r="13" spans="1:24" s="81" customFormat="1" ht="37.5" x14ac:dyDescent="0.3">
      <c r="A13" s="35">
        <v>237</v>
      </c>
      <c r="B13" s="99" t="s">
        <v>65</v>
      </c>
      <c r="C13" s="158" t="s">
        <v>1882</v>
      </c>
      <c r="D13" s="153" t="str">
        <f>VLOOKUP(F13,'Chị VA gửi 01.12.2025'!$B$2:$U$184,14,0)</f>
        <v>0707966066</v>
      </c>
      <c r="E13" s="50" t="s">
        <v>775</v>
      </c>
      <c r="F13" s="55" t="s">
        <v>291</v>
      </c>
      <c r="G13" s="55" t="s">
        <v>1815</v>
      </c>
      <c r="H13" s="99" t="s">
        <v>971</v>
      </c>
      <c r="I13" s="100"/>
      <c r="J13" s="100"/>
      <c r="K13" s="100"/>
      <c r="L13" s="100"/>
      <c r="M13" s="100"/>
      <c r="N13" s="83">
        <v>19284</v>
      </c>
      <c r="O13" s="83">
        <v>12856</v>
      </c>
      <c r="P13" s="83"/>
      <c r="Q13" s="83">
        <v>34284</v>
      </c>
      <c r="R13" s="83">
        <v>151416</v>
      </c>
      <c r="S13" s="83">
        <v>4285</v>
      </c>
      <c r="T13" s="55" t="s">
        <v>286</v>
      </c>
      <c r="U13" s="55" t="s">
        <v>9</v>
      </c>
      <c r="V13" s="55"/>
      <c r="W13" s="55" t="s">
        <v>541</v>
      </c>
      <c r="X13" s="55" t="s">
        <v>366</v>
      </c>
    </row>
    <row r="14" spans="1:24" s="81" customFormat="1" ht="37.5" x14ac:dyDescent="0.3">
      <c r="A14" s="35">
        <v>238</v>
      </c>
      <c r="B14" s="99" t="s">
        <v>65</v>
      </c>
      <c r="C14" s="158" t="s">
        <v>1755</v>
      </c>
      <c r="D14" s="153" t="str">
        <f>VLOOKUP(F14,'Chị VA gửi 01.12.2025'!$B$2:$U$184,14,0)</f>
        <v>0707966066</v>
      </c>
      <c r="E14" s="50" t="s">
        <v>775</v>
      </c>
      <c r="F14" s="55" t="s">
        <v>292</v>
      </c>
      <c r="G14" s="55" t="s">
        <v>1821</v>
      </c>
      <c r="H14" s="99" t="s">
        <v>972</v>
      </c>
      <c r="I14" s="100"/>
      <c r="J14" s="100"/>
      <c r="K14" s="100"/>
      <c r="L14" s="100"/>
      <c r="M14" s="100"/>
      <c r="N14" s="100"/>
      <c r="O14" s="83">
        <v>40712</v>
      </c>
      <c r="P14" s="166">
        <v>49283</v>
      </c>
      <c r="Q14" s="166">
        <v>53568</v>
      </c>
      <c r="R14" s="55"/>
      <c r="S14" s="55"/>
      <c r="T14" s="55" t="s">
        <v>286</v>
      </c>
      <c r="U14" s="55" t="s">
        <v>9</v>
      </c>
      <c r="V14" s="55"/>
      <c r="W14" s="55" t="s">
        <v>542</v>
      </c>
      <c r="X14" s="55" t="s">
        <v>367</v>
      </c>
    </row>
    <row r="15" spans="1:24" s="81" customFormat="1" ht="37.5" x14ac:dyDescent="0.3">
      <c r="A15" s="35">
        <v>239</v>
      </c>
      <c r="B15" s="99" t="s">
        <v>65</v>
      </c>
      <c r="C15" s="158" t="s">
        <v>1866</v>
      </c>
      <c r="D15" s="153" t="str">
        <f>VLOOKUP(F15,'Chị VA gửi 01.12.2025'!$B$2:$U$184,14,0)</f>
        <v>0707966066</v>
      </c>
      <c r="E15" s="50" t="s">
        <v>775</v>
      </c>
      <c r="F15" s="55" t="s">
        <v>293</v>
      </c>
      <c r="G15" s="55" t="s">
        <v>1828</v>
      </c>
      <c r="H15" s="99" t="s">
        <v>973</v>
      </c>
      <c r="I15" s="100"/>
      <c r="J15" s="100"/>
      <c r="K15" s="100"/>
      <c r="L15" s="100"/>
      <c r="M15" s="100"/>
      <c r="N15" s="100"/>
      <c r="O15" s="100"/>
      <c r="P15" s="55"/>
      <c r="Q15" s="55"/>
      <c r="R15" s="84">
        <v>42854</v>
      </c>
      <c r="S15" s="55"/>
      <c r="T15" s="55" t="s">
        <v>286</v>
      </c>
      <c r="U15" s="55" t="s">
        <v>9</v>
      </c>
      <c r="V15" s="55"/>
      <c r="W15" s="55" t="s">
        <v>543</v>
      </c>
      <c r="X15" s="55" t="s">
        <v>368</v>
      </c>
    </row>
    <row r="16" spans="1:24" s="81" customFormat="1" ht="37.5" x14ac:dyDescent="0.3">
      <c r="A16" s="35">
        <v>240</v>
      </c>
      <c r="B16" s="99" t="s">
        <v>65</v>
      </c>
      <c r="C16" s="156" t="str">
        <f>VLOOKUP(F16,'Chị VA gửi 01.12.2025'!$B$2:$U$184,7,0)</f>
        <v>70697124001479</v>
      </c>
      <c r="D16" s="55" t="str">
        <f>VLOOKUP(F16,'Chị VA gửi 01.12.2025'!$B$2:$U$184,14,0)</f>
        <v>0707966066</v>
      </c>
      <c r="E16" s="50" t="s">
        <v>775</v>
      </c>
      <c r="F16" s="55" t="s">
        <v>294</v>
      </c>
      <c r="G16" s="55" t="s">
        <v>1835</v>
      </c>
      <c r="H16" s="160" t="s">
        <v>974</v>
      </c>
      <c r="I16" s="100"/>
      <c r="J16" s="100"/>
      <c r="K16" s="83">
        <v>4089</v>
      </c>
      <c r="L16" s="100"/>
      <c r="M16" s="100"/>
      <c r="N16" s="83">
        <v>6428</v>
      </c>
      <c r="O16" s="100"/>
      <c r="P16" s="55"/>
      <c r="Q16" s="55"/>
      <c r="R16" s="84">
        <v>27855</v>
      </c>
      <c r="S16" s="55"/>
      <c r="T16" s="55" t="s">
        <v>286</v>
      </c>
      <c r="U16" s="55" t="s">
        <v>9</v>
      </c>
      <c r="V16" s="55"/>
      <c r="W16" s="55" t="s">
        <v>544</v>
      </c>
      <c r="X16" s="55" t="s">
        <v>369</v>
      </c>
    </row>
    <row r="17" spans="1:24" s="81" customFormat="1" ht="37.5" x14ac:dyDescent="0.3">
      <c r="A17" s="35">
        <v>241</v>
      </c>
      <c r="B17" s="99" t="s">
        <v>65</v>
      </c>
      <c r="C17" s="158" t="s">
        <v>1749</v>
      </c>
      <c r="D17" s="153" t="str">
        <f>VLOOKUP(F17,'Chị VA gửi 01.12.2025'!$B$2:$U$184,14,0)</f>
        <v>0707966066</v>
      </c>
      <c r="E17" s="50" t="s">
        <v>775</v>
      </c>
      <c r="F17" s="55" t="s">
        <v>295</v>
      </c>
      <c r="G17" s="55" t="s">
        <v>1774</v>
      </c>
      <c r="H17" s="99" t="s">
        <v>975</v>
      </c>
      <c r="I17" s="100"/>
      <c r="J17" s="100"/>
      <c r="K17" s="100"/>
      <c r="L17" s="100"/>
      <c r="M17" s="100"/>
      <c r="N17" s="83">
        <v>6428</v>
      </c>
      <c r="O17" s="100"/>
      <c r="P17" s="55"/>
      <c r="Q17" s="55"/>
      <c r="R17" s="84">
        <v>25713</v>
      </c>
      <c r="S17" s="55"/>
      <c r="T17" s="55" t="s">
        <v>286</v>
      </c>
      <c r="U17" s="55" t="s">
        <v>9</v>
      </c>
      <c r="V17" s="55"/>
      <c r="W17" s="55" t="s">
        <v>545</v>
      </c>
      <c r="X17" s="55" t="s">
        <v>370</v>
      </c>
    </row>
    <row r="18" spans="1:24" s="81" customFormat="1" ht="37.5" x14ac:dyDescent="0.3">
      <c r="A18" s="35">
        <v>243</v>
      </c>
      <c r="B18" s="99" t="s">
        <v>65</v>
      </c>
      <c r="C18" s="158" t="s">
        <v>1867</v>
      </c>
      <c r="D18" s="153" t="str">
        <f>VLOOKUP(F18,'Chị VA gửi 01.12.2025'!$B$2:$U$184,14,0)</f>
        <v>0707966066</v>
      </c>
      <c r="E18" s="50" t="s">
        <v>775</v>
      </c>
      <c r="F18" s="55" t="s">
        <v>297</v>
      </c>
      <c r="G18" s="55" t="s">
        <v>1763</v>
      </c>
      <c r="H18" s="99" t="s">
        <v>977</v>
      </c>
      <c r="I18" s="100"/>
      <c r="J18" s="100"/>
      <c r="K18" s="100"/>
      <c r="L18" s="100"/>
      <c r="M18" s="100"/>
      <c r="N18" s="83">
        <v>6428</v>
      </c>
      <c r="O18" s="100"/>
      <c r="P18" s="55"/>
      <c r="Q18" s="55"/>
      <c r="R18" s="84">
        <v>21427</v>
      </c>
      <c r="S18" s="55"/>
      <c r="T18" s="55" t="s">
        <v>286</v>
      </c>
      <c r="U18" s="55" t="s">
        <v>9</v>
      </c>
      <c r="V18" s="55"/>
      <c r="W18" s="55" t="s">
        <v>547</v>
      </c>
      <c r="X18" s="55" t="s">
        <v>372</v>
      </c>
    </row>
    <row r="19" spans="1:24" s="81" customFormat="1" ht="37.5" x14ac:dyDescent="0.3">
      <c r="A19" s="35">
        <v>244</v>
      </c>
      <c r="B19" s="99" t="s">
        <v>65</v>
      </c>
      <c r="C19" s="158" t="s">
        <v>1864</v>
      </c>
      <c r="D19" s="153" t="str">
        <f>VLOOKUP(F19,'Chị VA gửi 01.12.2025'!$B$2:$U$184,14,0)</f>
        <v>0707966066</v>
      </c>
      <c r="E19" s="50" t="s">
        <v>775</v>
      </c>
      <c r="F19" s="55" t="s">
        <v>298</v>
      </c>
      <c r="G19" s="55" t="s">
        <v>1796</v>
      </c>
      <c r="H19" s="99" t="s">
        <v>978</v>
      </c>
      <c r="I19" s="100"/>
      <c r="J19" s="100"/>
      <c r="K19" s="100"/>
      <c r="L19" s="100"/>
      <c r="M19" s="100"/>
      <c r="N19" s="100"/>
      <c r="O19" s="83">
        <v>32141</v>
      </c>
      <c r="P19" s="83">
        <v>12856</v>
      </c>
      <c r="Q19" s="100"/>
      <c r="R19" s="100"/>
      <c r="S19" s="83">
        <v>8571</v>
      </c>
      <c r="T19" s="55" t="s">
        <v>286</v>
      </c>
      <c r="U19" s="55" t="s">
        <v>9</v>
      </c>
      <c r="V19" s="55"/>
      <c r="W19" s="55" t="s">
        <v>548</v>
      </c>
      <c r="X19" s="55" t="s">
        <v>373</v>
      </c>
    </row>
    <row r="20" spans="1:24" s="80" customFormat="1" ht="37.5" x14ac:dyDescent="0.3">
      <c r="A20" s="35">
        <v>257</v>
      </c>
      <c r="B20" s="95" t="s">
        <v>65</v>
      </c>
      <c r="C20" s="157" t="s">
        <v>1748</v>
      </c>
      <c r="D20" s="154" t="str">
        <f>VLOOKUP(F20,'Chị VA gửi 01.12.2025'!$B$2:$U$184,14,0)</f>
        <v>0707966066</v>
      </c>
      <c r="E20" s="94" t="s">
        <v>641</v>
      </c>
      <c r="F20" s="94" t="s">
        <v>299</v>
      </c>
      <c r="G20" s="94" t="s">
        <v>1816</v>
      </c>
      <c r="H20" s="95" t="s">
        <v>991</v>
      </c>
      <c r="I20" s="96"/>
      <c r="J20" s="96"/>
      <c r="K20" s="96"/>
      <c r="L20" s="96"/>
      <c r="M20" s="83">
        <v>42265</v>
      </c>
      <c r="N20" s="83">
        <v>118206</v>
      </c>
      <c r="O20" s="83">
        <v>1339826</v>
      </c>
      <c r="P20" s="83">
        <v>2513182</v>
      </c>
      <c r="Q20" s="83">
        <v>2737390</v>
      </c>
      <c r="R20" s="83">
        <v>2696285</v>
      </c>
      <c r="S20" s="83">
        <v>3152174</v>
      </c>
      <c r="T20" s="94" t="s">
        <v>286</v>
      </c>
      <c r="U20" s="94" t="s">
        <v>9</v>
      </c>
      <c r="V20" s="94"/>
      <c r="W20" s="94" t="s">
        <v>549</v>
      </c>
      <c r="X20" s="94" t="s">
        <v>382</v>
      </c>
    </row>
    <row r="21" spans="1:24" s="80" customFormat="1" ht="37.5" x14ac:dyDescent="0.3">
      <c r="A21" s="35">
        <v>286</v>
      </c>
      <c r="B21" s="95" t="s">
        <v>65</v>
      </c>
      <c r="C21" s="157" t="s">
        <v>1751</v>
      </c>
      <c r="D21" s="154" t="str">
        <f>VLOOKUP(F21,'Chị VA gửi 01.12.2025'!$B$2:$U$184,14,0)</f>
        <v>0707966066</v>
      </c>
      <c r="E21" s="94" t="s">
        <v>641</v>
      </c>
      <c r="F21" s="94" t="s">
        <v>308</v>
      </c>
      <c r="G21" s="94" t="s">
        <v>1807</v>
      </c>
      <c r="H21" s="95" t="s">
        <v>1020</v>
      </c>
      <c r="I21" s="83">
        <v>426135</v>
      </c>
      <c r="J21" s="83">
        <v>530334</v>
      </c>
      <c r="K21" s="83">
        <v>700218</v>
      </c>
      <c r="L21" s="83">
        <v>493268</v>
      </c>
      <c r="M21" s="83">
        <v>433068</v>
      </c>
      <c r="N21" s="83">
        <v>433750</v>
      </c>
      <c r="O21" s="83">
        <v>446602</v>
      </c>
      <c r="P21" s="83">
        <v>1795716</v>
      </c>
      <c r="Q21" s="83">
        <v>1135134</v>
      </c>
      <c r="R21" s="83">
        <v>467165</v>
      </c>
      <c r="S21" s="83">
        <v>510492</v>
      </c>
      <c r="T21" s="94" t="s">
        <v>286</v>
      </c>
      <c r="U21" s="94" t="s">
        <v>9</v>
      </c>
      <c r="V21" s="94"/>
      <c r="W21" s="94">
        <v>1421007424</v>
      </c>
      <c r="X21" s="94" t="s">
        <v>383</v>
      </c>
    </row>
    <row r="22" spans="1:24" s="80" customFormat="1" ht="37.5" x14ac:dyDescent="0.3">
      <c r="A22" s="35">
        <v>285</v>
      </c>
      <c r="B22" s="95" t="s">
        <v>65</v>
      </c>
      <c r="C22" s="157" t="s">
        <v>1901</v>
      </c>
      <c r="D22" s="154" t="str">
        <f>VLOOKUP(F22,'Chị VA gửi 01.12.2025'!$B$2:$U$184,14,0)</f>
        <v>0707966066</v>
      </c>
      <c r="E22" s="94" t="s">
        <v>641</v>
      </c>
      <c r="F22" s="94" t="s">
        <v>309</v>
      </c>
      <c r="G22" s="94" t="s">
        <v>1802</v>
      </c>
      <c r="H22" s="95" t="s">
        <v>1019</v>
      </c>
      <c r="I22" s="83">
        <v>81778</v>
      </c>
      <c r="J22" s="83">
        <v>98133</v>
      </c>
      <c r="K22" s="83">
        <v>1253483</v>
      </c>
      <c r="L22" s="83">
        <v>1770576</v>
      </c>
      <c r="M22" s="83">
        <v>1775566</v>
      </c>
      <c r="N22" s="83">
        <v>1102572</v>
      </c>
      <c r="O22" s="83">
        <v>979560</v>
      </c>
      <c r="P22" s="83">
        <v>737141</v>
      </c>
      <c r="Q22" s="83">
        <v>1120662</v>
      </c>
      <c r="R22" s="83">
        <v>968706</v>
      </c>
      <c r="S22" s="83">
        <v>986796</v>
      </c>
      <c r="T22" s="94" t="s">
        <v>286</v>
      </c>
      <c r="U22" s="94" t="s">
        <v>9</v>
      </c>
      <c r="V22" s="94"/>
      <c r="W22" s="94" t="s">
        <v>552</v>
      </c>
      <c r="X22" s="94" t="s">
        <v>384</v>
      </c>
    </row>
    <row r="23" spans="1:24" s="80" customFormat="1" ht="37.5" x14ac:dyDescent="0.3">
      <c r="A23" s="35">
        <v>284</v>
      </c>
      <c r="B23" s="95" t="s">
        <v>65</v>
      </c>
      <c r="C23" s="157" t="s">
        <v>1752</v>
      </c>
      <c r="D23" s="154" t="str">
        <f>VLOOKUP(F23,'Chị VA gửi 01.12.2025'!$B$2:$U$184,14,0)</f>
        <v>0707966066</v>
      </c>
      <c r="E23" s="94" t="s">
        <v>641</v>
      </c>
      <c r="F23" s="94" t="s">
        <v>310</v>
      </c>
      <c r="G23" s="94" t="s">
        <v>1797</v>
      </c>
      <c r="H23" s="95" t="s">
        <v>1018</v>
      </c>
      <c r="I23" s="83">
        <v>900104</v>
      </c>
      <c r="J23" s="83">
        <v>1093459</v>
      </c>
      <c r="K23" s="83">
        <v>1446055</v>
      </c>
      <c r="L23" s="83">
        <v>102222</v>
      </c>
      <c r="M23" s="96"/>
      <c r="N23" s="83">
        <v>730665</v>
      </c>
      <c r="O23" s="83">
        <v>1127898</v>
      </c>
      <c r="P23" s="83">
        <v>85709</v>
      </c>
      <c r="Q23" s="83">
        <v>189054</v>
      </c>
      <c r="R23" s="83">
        <v>405475</v>
      </c>
      <c r="S23" s="83">
        <v>932526</v>
      </c>
      <c r="T23" s="94" t="s">
        <v>286</v>
      </c>
      <c r="U23" s="94" t="s">
        <v>9</v>
      </c>
      <c r="V23" s="94"/>
      <c r="W23" s="94" t="s">
        <v>553</v>
      </c>
      <c r="X23" s="94" t="s">
        <v>385</v>
      </c>
    </row>
    <row r="24" spans="1:24" s="80" customFormat="1" ht="37.5" x14ac:dyDescent="0.3">
      <c r="A24" s="35">
        <v>272</v>
      </c>
      <c r="B24" s="95" t="s">
        <v>65</v>
      </c>
      <c r="C24" s="157" t="s">
        <v>1863</v>
      </c>
      <c r="D24" s="154" t="str">
        <f>VLOOKUP(F24,'Chị VA gửi 01.12.2025'!$B$2:$U$184,14,0)</f>
        <v>0707966066</v>
      </c>
      <c r="E24" s="94" t="s">
        <v>641</v>
      </c>
      <c r="F24" s="94" t="s">
        <v>322</v>
      </c>
      <c r="G24" s="94" t="s">
        <v>1783</v>
      </c>
      <c r="H24" s="95" t="s">
        <v>1006</v>
      </c>
      <c r="I24" s="96"/>
      <c r="J24" s="96"/>
      <c r="K24" s="96"/>
      <c r="L24" s="96"/>
      <c r="M24" s="96"/>
      <c r="N24" s="83">
        <v>21427</v>
      </c>
      <c r="O24" s="83">
        <v>158058</v>
      </c>
      <c r="P24" s="83">
        <v>478114</v>
      </c>
      <c r="Q24" s="83">
        <v>788946</v>
      </c>
      <c r="R24" s="83">
        <v>438890</v>
      </c>
      <c r="S24" s="83">
        <v>118206</v>
      </c>
      <c r="T24" s="94" t="s">
        <v>286</v>
      </c>
      <c r="U24" s="94" t="s">
        <v>9</v>
      </c>
      <c r="V24" s="94"/>
      <c r="W24" s="94" t="s">
        <v>554</v>
      </c>
      <c r="X24" s="94" t="s">
        <v>397</v>
      </c>
    </row>
    <row r="25" spans="1:24" s="80" customFormat="1" ht="37.5" x14ac:dyDescent="0.3">
      <c r="A25" s="35">
        <v>271</v>
      </c>
      <c r="B25" s="95" t="s">
        <v>65</v>
      </c>
      <c r="C25" s="157" t="s">
        <v>1759</v>
      </c>
      <c r="D25" s="154" t="str">
        <f>VLOOKUP(F25,'Chị VA gửi 01.12.2025'!$B$2:$U$184,14,0)</f>
        <v>0707966066</v>
      </c>
      <c r="E25" s="94" t="s">
        <v>641</v>
      </c>
      <c r="F25" s="94" t="s">
        <v>323</v>
      </c>
      <c r="G25" s="94" t="s">
        <v>1775</v>
      </c>
      <c r="H25" s="95" t="s">
        <v>1005</v>
      </c>
      <c r="I25" s="96"/>
      <c r="J25" s="96"/>
      <c r="K25" s="96"/>
      <c r="L25" s="83">
        <v>4089</v>
      </c>
      <c r="M25" s="96"/>
      <c r="N25" s="83">
        <v>23570</v>
      </c>
      <c r="O25" s="83">
        <v>211194</v>
      </c>
      <c r="P25" s="83">
        <v>300089</v>
      </c>
      <c r="Q25" s="83">
        <v>328363</v>
      </c>
      <c r="R25" s="83">
        <v>271814</v>
      </c>
      <c r="S25" s="83">
        <v>100708</v>
      </c>
      <c r="T25" s="94" t="s">
        <v>286</v>
      </c>
      <c r="U25" s="94" t="s">
        <v>9</v>
      </c>
      <c r="V25" s="94"/>
      <c r="W25" s="94" t="s">
        <v>555</v>
      </c>
      <c r="X25" s="94" t="s">
        <v>398</v>
      </c>
    </row>
    <row r="26" spans="1:24" s="80" customFormat="1" ht="37.5" x14ac:dyDescent="0.3">
      <c r="A26" s="35">
        <v>269</v>
      </c>
      <c r="B26" s="95" t="s">
        <v>65</v>
      </c>
      <c r="C26" s="157" t="s">
        <v>1905</v>
      </c>
      <c r="D26" s="94" t="str">
        <f>VLOOKUP(F26,'Chị VA gửi 01.12.2025'!$B$2:$U$184,14,0)</f>
        <v>0707966066</v>
      </c>
      <c r="E26" s="94" t="s">
        <v>641</v>
      </c>
      <c r="F26" s="94" t="s">
        <v>325</v>
      </c>
      <c r="G26" s="94" t="s">
        <v>1829</v>
      </c>
      <c r="H26" s="95" t="s">
        <v>1003</v>
      </c>
      <c r="I26" s="96"/>
      <c r="J26" s="96"/>
      <c r="K26" s="96"/>
      <c r="L26" s="83">
        <v>2044</v>
      </c>
      <c r="M26" s="96"/>
      <c r="N26" s="83">
        <v>55711</v>
      </c>
      <c r="O26" s="83">
        <v>122634</v>
      </c>
      <c r="P26" s="83">
        <v>204552</v>
      </c>
      <c r="Q26" s="83">
        <v>44997</v>
      </c>
      <c r="R26" s="83">
        <v>83566</v>
      </c>
      <c r="S26" s="83">
        <v>120420</v>
      </c>
      <c r="T26" s="94" t="s">
        <v>286</v>
      </c>
      <c r="U26" s="94" t="s">
        <v>9</v>
      </c>
      <c r="V26" s="94"/>
      <c r="W26" s="94" t="s">
        <v>557</v>
      </c>
      <c r="X26" s="94" t="s">
        <v>400</v>
      </c>
    </row>
    <row r="27" spans="1:24" s="80" customFormat="1" ht="37.5" x14ac:dyDescent="0.3">
      <c r="A27" s="35">
        <v>268</v>
      </c>
      <c r="B27" s="95" t="s">
        <v>65</v>
      </c>
      <c r="C27" s="157" t="s">
        <v>1756</v>
      </c>
      <c r="D27" s="154" t="str">
        <f>VLOOKUP(F27,'Chị VA gửi 01.12.2025'!$B$2:$U$184,14,0)</f>
        <v>0707966066</v>
      </c>
      <c r="E27" s="94" t="s">
        <v>641</v>
      </c>
      <c r="F27" s="94" t="s">
        <v>326</v>
      </c>
      <c r="G27" s="94" t="s">
        <v>1822</v>
      </c>
      <c r="H27" s="95" t="s">
        <v>1002</v>
      </c>
      <c r="I27" s="96"/>
      <c r="J27" s="96"/>
      <c r="K27" s="96"/>
      <c r="L27" s="83">
        <v>2044</v>
      </c>
      <c r="M27" s="96"/>
      <c r="N27" s="83">
        <v>220406</v>
      </c>
      <c r="O27" s="83">
        <v>400334</v>
      </c>
      <c r="P27" s="83">
        <v>310370</v>
      </c>
      <c r="Q27" s="83">
        <v>213408</v>
      </c>
      <c r="R27" s="83">
        <v>405475</v>
      </c>
      <c r="S27" s="83">
        <v>446602</v>
      </c>
      <c r="T27" s="94" t="s">
        <v>286</v>
      </c>
      <c r="U27" s="94" t="s">
        <v>9</v>
      </c>
      <c r="V27" s="94"/>
      <c r="W27" s="94" t="s">
        <v>558</v>
      </c>
      <c r="X27" s="94" t="s">
        <v>401</v>
      </c>
    </row>
    <row r="28" spans="1:24" s="80" customFormat="1" ht="37.5" x14ac:dyDescent="0.3">
      <c r="A28" s="35">
        <v>267</v>
      </c>
      <c r="B28" s="95" t="s">
        <v>65</v>
      </c>
      <c r="C28" s="157" t="s">
        <v>1856</v>
      </c>
      <c r="D28" s="154" t="str">
        <f>VLOOKUP(F28,'Chị VA gửi 01.12.2025'!$B$2:$U$184,14,0)</f>
        <v>0707966066</v>
      </c>
      <c r="E28" s="94" t="s">
        <v>641</v>
      </c>
      <c r="F28" s="94" t="s">
        <v>327</v>
      </c>
      <c r="G28" s="94" t="s">
        <v>1817</v>
      </c>
      <c r="H28" s="95" t="s">
        <v>1001</v>
      </c>
      <c r="I28" s="96"/>
      <c r="J28" s="96"/>
      <c r="K28" s="96"/>
      <c r="L28" s="96"/>
      <c r="M28" s="96"/>
      <c r="N28" s="83">
        <v>23570</v>
      </c>
      <c r="O28" s="83">
        <v>164700</v>
      </c>
      <c r="P28" s="83">
        <v>62139</v>
      </c>
      <c r="Q28" s="83">
        <v>151416</v>
      </c>
      <c r="R28" s="83">
        <v>122634</v>
      </c>
      <c r="S28" s="83">
        <v>173556</v>
      </c>
      <c r="T28" s="94" t="s">
        <v>286</v>
      </c>
      <c r="U28" s="94" t="s">
        <v>9</v>
      </c>
      <c r="V28" s="94"/>
      <c r="W28" s="94" t="s">
        <v>559</v>
      </c>
      <c r="X28" s="94" t="s">
        <v>402</v>
      </c>
    </row>
    <row r="29" spans="1:24" s="80" customFormat="1" ht="37.5" x14ac:dyDescent="0.3">
      <c r="A29" s="35">
        <v>266</v>
      </c>
      <c r="B29" s="95" t="s">
        <v>65</v>
      </c>
      <c r="C29" s="157" t="s">
        <v>1852</v>
      </c>
      <c r="D29" s="154" t="str">
        <f>VLOOKUP(F29,'Chị VA gửi 01.12.2025'!$B$2:$U$184,14,0)</f>
        <v>0707966066</v>
      </c>
      <c r="E29" s="94" t="s">
        <v>641</v>
      </c>
      <c r="F29" s="94" t="s">
        <v>328</v>
      </c>
      <c r="G29" s="94" t="s">
        <v>1808</v>
      </c>
      <c r="H29" s="95" t="s">
        <v>1000</v>
      </c>
      <c r="I29" s="96"/>
      <c r="J29" s="96"/>
      <c r="K29" s="96"/>
      <c r="L29" s="96"/>
      <c r="M29" s="96"/>
      <c r="N29" s="83">
        <v>87852</v>
      </c>
      <c r="O29" s="83">
        <v>271814</v>
      </c>
      <c r="P29" s="83">
        <v>40712</v>
      </c>
      <c r="Q29" s="83">
        <v>29998</v>
      </c>
      <c r="R29" s="83">
        <v>10714</v>
      </c>
      <c r="S29" s="83">
        <v>171342</v>
      </c>
      <c r="T29" s="94" t="s">
        <v>286</v>
      </c>
      <c r="U29" s="94" t="s">
        <v>9</v>
      </c>
      <c r="V29" s="94"/>
      <c r="W29" s="94" t="s">
        <v>560</v>
      </c>
      <c r="X29" s="94" t="s">
        <v>403</v>
      </c>
    </row>
    <row r="30" spans="1:24" s="80" customFormat="1" ht="37.5" x14ac:dyDescent="0.3">
      <c r="A30" s="35">
        <v>265</v>
      </c>
      <c r="B30" s="95" t="s">
        <v>65</v>
      </c>
      <c r="C30" s="157" t="s">
        <v>1753</v>
      </c>
      <c r="D30" s="154" t="str">
        <f>VLOOKUP(F30,'Chị VA gửi 01.12.2025'!$B$2:$U$184,14,0)</f>
        <v>0707966066</v>
      </c>
      <c r="E30" s="94" t="s">
        <v>641</v>
      </c>
      <c r="F30" s="94" t="s">
        <v>329</v>
      </c>
      <c r="G30" s="94" t="s">
        <v>1803</v>
      </c>
      <c r="H30" s="95" t="s">
        <v>999</v>
      </c>
      <c r="I30" s="96"/>
      <c r="J30" s="96"/>
      <c r="K30" s="96"/>
      <c r="L30" s="96"/>
      <c r="M30" s="96"/>
      <c r="N30" s="83">
        <v>72852</v>
      </c>
      <c r="O30" s="83">
        <v>155844</v>
      </c>
      <c r="P30" s="83">
        <v>271814</v>
      </c>
      <c r="Q30" s="83">
        <v>400334</v>
      </c>
      <c r="R30" s="83">
        <v>211194</v>
      </c>
      <c r="S30" s="83">
        <v>200124</v>
      </c>
      <c r="T30" s="94" t="s">
        <v>286</v>
      </c>
      <c r="U30" s="94" t="s">
        <v>9</v>
      </c>
      <c r="V30" s="94"/>
      <c r="W30" s="94" t="s">
        <v>561</v>
      </c>
      <c r="X30" s="94" t="s">
        <v>404</v>
      </c>
    </row>
    <row r="31" spans="1:24" s="80" customFormat="1" ht="37.5" x14ac:dyDescent="0.3">
      <c r="A31" s="35">
        <v>264</v>
      </c>
      <c r="B31" s="95" t="s">
        <v>65</v>
      </c>
      <c r="C31" s="155" t="str">
        <f>VLOOKUP(F31,'Chị VA gửi 01.12.2025'!$B$2:$U$184,7,0)</f>
        <v>70697124001523</v>
      </c>
      <c r="D31" s="154" t="str">
        <f>VLOOKUP(F31,'Chị VA gửi 01.12.2025'!$B$2:$U$184,14,0)</f>
        <v>0707966066</v>
      </c>
      <c r="E31" s="94" t="s">
        <v>641</v>
      </c>
      <c r="F31" s="94" t="s">
        <v>330</v>
      </c>
      <c r="G31" s="94" t="s">
        <v>1798</v>
      </c>
      <c r="H31" s="95" t="s">
        <v>998</v>
      </c>
      <c r="I31" s="96"/>
      <c r="J31" s="96"/>
      <c r="K31" s="96"/>
      <c r="L31" s="83">
        <v>2044</v>
      </c>
      <c r="M31" s="96"/>
      <c r="N31" s="83">
        <v>55711</v>
      </c>
      <c r="O31" s="83">
        <v>96422</v>
      </c>
      <c r="P31" s="83">
        <v>623817</v>
      </c>
      <c r="Q31" s="83">
        <v>555822</v>
      </c>
      <c r="R31" s="83">
        <v>107136</v>
      </c>
      <c r="S31" s="83">
        <v>122634</v>
      </c>
      <c r="T31" s="94" t="s">
        <v>286</v>
      </c>
      <c r="U31" s="94" t="s">
        <v>9</v>
      </c>
      <c r="V31" s="94"/>
      <c r="W31" s="94" t="s">
        <v>562</v>
      </c>
      <c r="X31" s="94" t="s">
        <v>405</v>
      </c>
    </row>
    <row r="32" spans="1:24" s="80" customFormat="1" ht="37.5" x14ac:dyDescent="0.3">
      <c r="A32" s="35">
        <v>270</v>
      </c>
      <c r="B32" s="95" t="s">
        <v>65</v>
      </c>
      <c r="C32" s="157" t="s">
        <v>1897</v>
      </c>
      <c r="D32" s="154" t="str">
        <f>VLOOKUP(F32,'Chị VA gửi 01.12.2025'!$B$2:$U$184,14,0)</f>
        <v>0707966066</v>
      </c>
      <c r="E32" s="94" t="s">
        <v>641</v>
      </c>
      <c r="F32" s="94" t="s">
        <v>324</v>
      </c>
      <c r="G32" s="94" t="s">
        <v>1836</v>
      </c>
      <c r="H32" s="95" t="s">
        <v>1004</v>
      </c>
      <c r="I32" s="96"/>
      <c r="J32" s="96"/>
      <c r="K32" s="96"/>
      <c r="L32" s="83">
        <v>6133</v>
      </c>
      <c r="M32" s="96"/>
      <c r="N32" s="83">
        <v>92137</v>
      </c>
      <c r="O32" s="83">
        <v>271814</v>
      </c>
      <c r="P32" s="83">
        <v>300089</v>
      </c>
      <c r="Q32" s="83">
        <v>120420</v>
      </c>
      <c r="R32" s="83">
        <v>175770</v>
      </c>
      <c r="S32" s="83">
        <v>195696</v>
      </c>
      <c r="T32" s="94" t="s">
        <v>286</v>
      </c>
      <c r="U32" s="94" t="s">
        <v>9</v>
      </c>
      <c r="V32" s="94"/>
      <c r="W32" s="94" t="s">
        <v>556</v>
      </c>
      <c r="X32" s="94" t="s">
        <v>399</v>
      </c>
    </row>
    <row r="33" spans="1:24" s="80" customFormat="1" ht="37.5" x14ac:dyDescent="0.3">
      <c r="A33" s="35">
        <v>263</v>
      </c>
      <c r="B33" s="95" t="s">
        <v>65</v>
      </c>
      <c r="C33" s="157" t="s">
        <v>1857</v>
      </c>
      <c r="D33" s="154" t="str">
        <f>VLOOKUP(F33,'Chị VA gửi 01.12.2025'!$B$2:$U$184,14,0)</f>
        <v>0707966066</v>
      </c>
      <c r="E33" s="94" t="s">
        <v>641</v>
      </c>
      <c r="F33" s="94" t="s">
        <v>331</v>
      </c>
      <c r="G33" s="94" t="s">
        <v>1792</v>
      </c>
      <c r="H33" s="95" t="s">
        <v>997</v>
      </c>
      <c r="I33" s="96"/>
      <c r="J33" s="96"/>
      <c r="K33" s="96"/>
      <c r="L33" s="96"/>
      <c r="M33" s="96"/>
      <c r="N33" s="83">
        <v>77138</v>
      </c>
      <c r="O33" s="83">
        <v>107136</v>
      </c>
      <c r="P33" s="83">
        <v>459454</v>
      </c>
      <c r="Q33" s="83">
        <v>392623</v>
      </c>
      <c r="R33" s="83">
        <v>320652</v>
      </c>
      <c r="S33" s="83">
        <v>151416</v>
      </c>
      <c r="T33" s="94" t="s">
        <v>286</v>
      </c>
      <c r="U33" s="94" t="s">
        <v>9</v>
      </c>
      <c r="V33" s="94"/>
      <c r="W33" s="94" t="s">
        <v>563</v>
      </c>
      <c r="X33" s="94" t="s">
        <v>406</v>
      </c>
    </row>
    <row r="34" spans="1:24" s="80" customFormat="1" ht="37.5" x14ac:dyDescent="0.3">
      <c r="A34" s="35">
        <v>262</v>
      </c>
      <c r="B34" s="95" t="s">
        <v>65</v>
      </c>
      <c r="C34" s="157" t="s">
        <v>1868</v>
      </c>
      <c r="D34" s="154" t="str">
        <f>VLOOKUP(F34,'Chị VA gửi 01.12.2025'!$B$2:$U$184,14,0)</f>
        <v>0707966066</v>
      </c>
      <c r="E34" s="94" t="s">
        <v>641</v>
      </c>
      <c r="F34" s="94" t="s">
        <v>332</v>
      </c>
      <c r="G34" s="94" t="s">
        <v>1786</v>
      </c>
      <c r="H34" s="95" t="s">
        <v>996</v>
      </c>
      <c r="I34" s="96"/>
      <c r="J34" s="96"/>
      <c r="K34" s="96"/>
      <c r="L34" s="96"/>
      <c r="M34" s="96"/>
      <c r="N34" s="83">
        <v>51425</v>
      </c>
      <c r="O34" s="83">
        <v>120420</v>
      </c>
      <c r="P34" s="83">
        <v>343786</v>
      </c>
      <c r="Q34" s="83">
        <v>222977</v>
      </c>
      <c r="R34" s="83">
        <v>171342</v>
      </c>
      <c r="S34" s="83">
        <v>180198</v>
      </c>
      <c r="T34" s="94" t="s">
        <v>286</v>
      </c>
      <c r="U34" s="94" t="s">
        <v>9</v>
      </c>
      <c r="V34" s="94"/>
      <c r="W34" s="94" t="s">
        <v>564</v>
      </c>
      <c r="X34" s="94" t="s">
        <v>407</v>
      </c>
    </row>
    <row r="35" spans="1:24" s="80" customFormat="1" ht="37.5" x14ac:dyDescent="0.3">
      <c r="A35" s="35">
        <v>261</v>
      </c>
      <c r="B35" s="95" t="s">
        <v>65</v>
      </c>
      <c r="C35" s="157" t="s">
        <v>1853</v>
      </c>
      <c r="D35" s="154" t="str">
        <f>VLOOKUP(F35,'Chị VA gửi 01.12.2025'!$B$2:$U$184,14,0)</f>
        <v>0707966066</v>
      </c>
      <c r="E35" s="94" t="s">
        <v>641</v>
      </c>
      <c r="F35" s="94" t="s">
        <v>333</v>
      </c>
      <c r="G35" s="94" t="s">
        <v>1779</v>
      </c>
      <c r="H35" s="95" t="s">
        <v>995</v>
      </c>
      <c r="I35" s="96"/>
      <c r="J35" s="96"/>
      <c r="K35" s="96"/>
      <c r="L35" s="83">
        <v>2044</v>
      </c>
      <c r="M35" s="96"/>
      <c r="N35" s="83">
        <v>276955</v>
      </c>
      <c r="O35" s="83">
        <v>410616</v>
      </c>
      <c r="P35" s="83">
        <v>494303</v>
      </c>
      <c r="Q35" s="83">
        <v>462024</v>
      </c>
      <c r="R35" s="83">
        <v>361778</v>
      </c>
      <c r="S35" s="83">
        <v>420898</v>
      </c>
      <c r="T35" s="94" t="s">
        <v>286</v>
      </c>
      <c r="U35" s="94" t="s">
        <v>9</v>
      </c>
      <c r="V35" s="94"/>
      <c r="W35" s="94">
        <v>1411162670</v>
      </c>
      <c r="X35" s="94" t="s">
        <v>408</v>
      </c>
    </row>
    <row r="36" spans="1:24" s="80" customFormat="1" ht="37.5" x14ac:dyDescent="0.3">
      <c r="A36" s="35">
        <v>260</v>
      </c>
      <c r="B36" s="95" t="s">
        <v>65</v>
      </c>
      <c r="C36" s="157" t="s">
        <v>1892</v>
      </c>
      <c r="D36" s="154" t="str">
        <f>VLOOKUP(F36,'Chị VA gửi 01.12.2025'!$B$2:$U$184,14,0)</f>
        <v>0707966066</v>
      </c>
      <c r="E36" s="94" t="s">
        <v>641</v>
      </c>
      <c r="F36" s="94" t="s">
        <v>334</v>
      </c>
      <c r="G36" s="94" t="s">
        <v>1839</v>
      </c>
      <c r="H36" s="95" t="s">
        <v>994</v>
      </c>
      <c r="I36" s="96"/>
      <c r="J36" s="96"/>
      <c r="K36" s="96"/>
      <c r="L36" s="96"/>
      <c r="M36" s="83">
        <v>2143</v>
      </c>
      <c r="N36" s="83">
        <v>193482</v>
      </c>
      <c r="O36" s="83">
        <v>374630</v>
      </c>
      <c r="P36" s="83">
        <v>413186</v>
      </c>
      <c r="Q36" s="83">
        <v>402905</v>
      </c>
      <c r="R36" s="83">
        <v>346356</v>
      </c>
      <c r="S36" s="83">
        <v>374630</v>
      </c>
      <c r="T36" s="94" t="s">
        <v>286</v>
      </c>
      <c r="U36" s="94" t="s">
        <v>9</v>
      </c>
      <c r="V36" s="94"/>
      <c r="W36" s="94" t="s">
        <v>565</v>
      </c>
      <c r="X36" s="94" t="s">
        <v>409</v>
      </c>
    </row>
    <row r="37" spans="1:24" s="80" customFormat="1" ht="37.5" x14ac:dyDescent="0.3">
      <c r="A37" s="35">
        <v>259</v>
      </c>
      <c r="B37" s="95" t="s">
        <v>65</v>
      </c>
      <c r="C37" s="157" t="s">
        <v>1895</v>
      </c>
      <c r="D37" s="94" t="str">
        <f>VLOOKUP(F37,'Chị VA gửi 01.12.2025'!$B$2:$U$184,14,0)</f>
        <v>0707966066</v>
      </c>
      <c r="E37" s="94" t="s">
        <v>641</v>
      </c>
      <c r="F37" s="94" t="s">
        <v>335</v>
      </c>
      <c r="G37" s="94" t="s">
        <v>1832</v>
      </c>
      <c r="H37" s="95" t="s">
        <v>993</v>
      </c>
      <c r="I37" s="96"/>
      <c r="J37" s="96"/>
      <c r="K37" s="96"/>
      <c r="L37" s="96"/>
      <c r="M37" s="83">
        <v>4187</v>
      </c>
      <c r="N37" s="83">
        <v>120420</v>
      </c>
      <c r="O37" s="83">
        <v>256392</v>
      </c>
      <c r="P37" s="83">
        <v>256392</v>
      </c>
      <c r="Q37" s="83">
        <v>246110</v>
      </c>
      <c r="R37" s="83">
        <v>155844</v>
      </c>
      <c r="S37" s="83">
        <v>177984</v>
      </c>
      <c r="T37" s="94" t="s">
        <v>286</v>
      </c>
      <c r="U37" s="94" t="s">
        <v>9</v>
      </c>
      <c r="V37" s="94"/>
      <c r="W37" s="94" t="s">
        <v>566</v>
      </c>
      <c r="X37" s="94" t="s">
        <v>410</v>
      </c>
    </row>
    <row r="38" spans="1:24" s="80" customFormat="1" ht="37.5" x14ac:dyDescent="0.3">
      <c r="A38" s="35">
        <v>258</v>
      </c>
      <c r="B38" s="95" t="s">
        <v>65</v>
      </c>
      <c r="C38" s="157" t="s">
        <v>1894</v>
      </c>
      <c r="D38" s="154" t="str">
        <f>VLOOKUP(F38,'Chị VA gửi 01.12.2025'!$B$2:$U$184,14,0)</f>
        <v>0707966066</v>
      </c>
      <c r="E38" s="94" t="s">
        <v>641</v>
      </c>
      <c r="F38" s="94" t="s">
        <v>336</v>
      </c>
      <c r="G38" s="94" t="s">
        <v>1825</v>
      </c>
      <c r="H38" s="95" t="s">
        <v>992</v>
      </c>
      <c r="I38" s="96"/>
      <c r="J38" s="96"/>
      <c r="K38" s="96"/>
      <c r="L38" s="83">
        <v>34755</v>
      </c>
      <c r="M38" s="83">
        <v>182137</v>
      </c>
      <c r="N38" s="83">
        <v>177984</v>
      </c>
      <c r="O38" s="83">
        <v>171342</v>
      </c>
      <c r="P38" s="83">
        <v>446602</v>
      </c>
      <c r="Q38" s="83">
        <v>305230</v>
      </c>
      <c r="R38" s="83">
        <v>294948</v>
      </c>
      <c r="S38" s="83">
        <v>180198</v>
      </c>
      <c r="T38" s="94" t="s">
        <v>286</v>
      </c>
      <c r="U38" s="94" t="s">
        <v>9</v>
      </c>
      <c r="V38" s="94"/>
      <c r="W38" s="94" t="s">
        <v>567</v>
      </c>
      <c r="X38" s="94" t="s">
        <v>411</v>
      </c>
    </row>
    <row r="39" spans="1:24" s="80" customFormat="1" ht="37.5" x14ac:dyDescent="0.3">
      <c r="A39" s="35">
        <v>256</v>
      </c>
      <c r="B39" s="95" t="s">
        <v>65</v>
      </c>
      <c r="C39" s="157" t="s">
        <v>1871</v>
      </c>
      <c r="D39" s="154" t="str">
        <f>VLOOKUP(F39,'Chị VA gửi 01.12.2025'!$B$2:$U$184,14,0)</f>
        <v>0707966066</v>
      </c>
      <c r="E39" s="94" t="s">
        <v>641</v>
      </c>
      <c r="F39" s="94" t="s">
        <v>337</v>
      </c>
      <c r="G39" s="94" t="s">
        <v>1812</v>
      </c>
      <c r="H39" s="95" t="s">
        <v>990</v>
      </c>
      <c r="I39" s="96"/>
      <c r="J39" s="96"/>
      <c r="K39" s="96"/>
      <c r="L39" s="96"/>
      <c r="M39" s="83">
        <v>127599</v>
      </c>
      <c r="N39" s="83">
        <v>338645</v>
      </c>
      <c r="O39" s="83">
        <v>405475</v>
      </c>
      <c r="P39" s="83">
        <v>494303</v>
      </c>
      <c r="Q39" s="83">
        <v>392623</v>
      </c>
      <c r="R39" s="83">
        <v>346356</v>
      </c>
      <c r="S39" s="83">
        <v>415757</v>
      </c>
      <c r="T39" s="94" t="s">
        <v>286</v>
      </c>
      <c r="U39" s="94" t="s">
        <v>9</v>
      </c>
      <c r="V39" s="94"/>
      <c r="W39" s="94" t="s">
        <v>568</v>
      </c>
      <c r="X39" s="94" t="s">
        <v>412</v>
      </c>
    </row>
    <row r="40" spans="1:24" s="80" customFormat="1" ht="37.5" x14ac:dyDescent="0.3">
      <c r="A40" s="35">
        <v>255</v>
      </c>
      <c r="B40" s="95" t="s">
        <v>65</v>
      </c>
      <c r="C40" s="157" t="s">
        <v>1881</v>
      </c>
      <c r="D40" s="154" t="str">
        <f>VLOOKUP(F40,'Chị VA gửi 01.12.2025'!$B$2:$U$184,14,0)</f>
        <v>0707966066</v>
      </c>
      <c r="E40" s="94" t="s">
        <v>641</v>
      </c>
      <c r="F40" s="94" t="s">
        <v>338</v>
      </c>
      <c r="G40" s="94" t="s">
        <v>1764</v>
      </c>
      <c r="H40" s="95" t="s">
        <v>989</v>
      </c>
      <c r="I40" s="96"/>
      <c r="J40" s="96"/>
      <c r="K40" s="96"/>
      <c r="L40" s="96"/>
      <c r="M40" s="83">
        <v>101475</v>
      </c>
      <c r="N40" s="83">
        <v>297518</v>
      </c>
      <c r="O40" s="83">
        <v>659433</v>
      </c>
      <c r="P40" s="83">
        <v>1008504</v>
      </c>
      <c r="Q40" s="83">
        <v>954234</v>
      </c>
      <c r="R40" s="83">
        <v>845694</v>
      </c>
      <c r="S40" s="83">
        <v>1051920</v>
      </c>
      <c r="T40" s="94" t="s">
        <v>286</v>
      </c>
      <c r="U40" s="94" t="s">
        <v>9</v>
      </c>
      <c r="V40" s="94"/>
      <c r="W40" s="94" t="s">
        <v>569</v>
      </c>
      <c r="X40" s="94" t="s">
        <v>413</v>
      </c>
    </row>
    <row r="41" spans="1:24" s="80" customFormat="1" ht="37.5" x14ac:dyDescent="0.3">
      <c r="A41" s="35">
        <v>254</v>
      </c>
      <c r="B41" s="95" t="s">
        <v>65</v>
      </c>
      <c r="C41" s="157" t="s">
        <v>1893</v>
      </c>
      <c r="D41" s="154" t="str">
        <f>VLOOKUP(F41,'Chị VA gửi 01.12.2025'!$B$2:$U$184,14,0)</f>
        <v>0707966066</v>
      </c>
      <c r="E41" s="94" t="s">
        <v>641</v>
      </c>
      <c r="F41" s="94" t="s">
        <v>339</v>
      </c>
      <c r="G41" s="94" t="s">
        <v>1766</v>
      </c>
      <c r="H41" s="95" t="s">
        <v>988</v>
      </c>
      <c r="I41" s="96"/>
      <c r="J41" s="96"/>
      <c r="K41" s="96"/>
      <c r="L41" s="83">
        <v>355007</v>
      </c>
      <c r="M41" s="83">
        <v>1539653</v>
      </c>
      <c r="N41" s="83">
        <v>2143238</v>
      </c>
      <c r="O41" s="83">
        <v>2296447</v>
      </c>
      <c r="P41" s="83">
        <v>3436171</v>
      </c>
      <c r="Q41" s="83">
        <v>3716431</v>
      </c>
      <c r="R41" s="83">
        <v>3339014</v>
      </c>
      <c r="S41" s="83">
        <v>2629022</v>
      </c>
      <c r="T41" s="94" t="s">
        <v>286</v>
      </c>
      <c r="U41" s="94" t="s">
        <v>9</v>
      </c>
      <c r="V41" s="94"/>
      <c r="W41" s="94" t="s">
        <v>570</v>
      </c>
      <c r="X41" s="94" t="s">
        <v>414</v>
      </c>
    </row>
    <row r="42" spans="1:24" s="81" customFormat="1" ht="37.5" x14ac:dyDescent="0.3">
      <c r="A42" s="35">
        <v>253</v>
      </c>
      <c r="B42" s="99" t="s">
        <v>65</v>
      </c>
      <c r="C42" s="158" t="s">
        <v>1861</v>
      </c>
      <c r="D42" s="153" t="str">
        <f>VLOOKUP(F42,'Chị VA gửi 01.12.2025'!$B$2:$U$184,14,0)</f>
        <v>0707966066</v>
      </c>
      <c r="E42" s="50" t="s">
        <v>775</v>
      </c>
      <c r="F42" s="55" t="s">
        <v>340</v>
      </c>
      <c r="G42" s="55" t="s">
        <v>1791</v>
      </c>
      <c r="H42" s="99" t="s">
        <v>987</v>
      </c>
      <c r="I42" s="100"/>
      <c r="J42" s="100"/>
      <c r="K42" s="100"/>
      <c r="L42" s="100"/>
      <c r="M42" s="100"/>
      <c r="N42" s="83">
        <v>14999</v>
      </c>
      <c r="O42" s="100"/>
      <c r="P42" s="55"/>
      <c r="Q42" s="55"/>
      <c r="R42" s="84">
        <v>36426</v>
      </c>
      <c r="S42" s="55"/>
      <c r="T42" s="55" t="s">
        <v>286</v>
      </c>
      <c r="U42" s="55" t="s">
        <v>9</v>
      </c>
      <c r="V42" s="55"/>
      <c r="W42" s="55" t="s">
        <v>571</v>
      </c>
      <c r="X42" s="55" t="s">
        <v>415</v>
      </c>
    </row>
    <row r="43" spans="1:24" s="81" customFormat="1" ht="37.5" x14ac:dyDescent="0.3">
      <c r="A43" s="35">
        <v>212</v>
      </c>
      <c r="B43" s="99" t="s">
        <v>65</v>
      </c>
      <c r="C43" s="158" t="s">
        <v>1904</v>
      </c>
      <c r="D43" s="153" t="str">
        <f>VLOOKUP(F43,'Chị VA gửi 01.12.2025'!$B$2:$U$184,14,0)</f>
        <v>0707966066</v>
      </c>
      <c r="E43" s="50" t="s">
        <v>775</v>
      </c>
      <c r="F43" s="55" t="s">
        <v>341</v>
      </c>
      <c r="G43" s="55" t="s">
        <v>1841</v>
      </c>
      <c r="H43" s="99" t="s">
        <v>946</v>
      </c>
      <c r="I43" s="100"/>
      <c r="J43" s="100"/>
      <c r="K43" s="100"/>
      <c r="L43" s="100"/>
      <c r="M43" s="100"/>
      <c r="N43" s="83">
        <v>8571</v>
      </c>
      <c r="O43" s="100"/>
      <c r="P43" s="84">
        <v>2143</v>
      </c>
      <c r="Q43" s="55"/>
      <c r="R43" s="84">
        <v>36426</v>
      </c>
      <c r="S43" s="55"/>
      <c r="T43" s="55" t="s">
        <v>286</v>
      </c>
      <c r="U43" s="55" t="s">
        <v>9</v>
      </c>
      <c r="V43" s="55"/>
      <c r="W43" s="55" t="s">
        <v>572</v>
      </c>
      <c r="X43" s="55" t="s">
        <v>416</v>
      </c>
    </row>
    <row r="44" spans="1:24" s="81" customFormat="1" ht="37.5" x14ac:dyDescent="0.3">
      <c r="A44" s="35">
        <v>231</v>
      </c>
      <c r="B44" s="99" t="s">
        <v>65</v>
      </c>
      <c r="C44" s="158" t="s">
        <v>1884</v>
      </c>
      <c r="D44" s="153" t="str">
        <f>VLOOKUP(F44,'Chị VA gửi 01.12.2025'!$B$2:$U$184,14,0)</f>
        <v>0707966066</v>
      </c>
      <c r="E44" s="50" t="s">
        <v>775</v>
      </c>
      <c r="F44" s="55" t="s">
        <v>342</v>
      </c>
      <c r="G44" s="55" t="s">
        <v>1777</v>
      </c>
      <c r="H44" s="99" t="s">
        <v>965</v>
      </c>
      <c r="I44" s="100"/>
      <c r="J44" s="100"/>
      <c r="K44" s="100"/>
      <c r="L44" s="100"/>
      <c r="M44" s="100"/>
      <c r="N44" s="83">
        <v>8571</v>
      </c>
      <c r="O44" s="100"/>
      <c r="P44" s="84">
        <v>2143</v>
      </c>
      <c r="Q44" s="84">
        <v>14999</v>
      </c>
      <c r="R44" s="84">
        <v>34284</v>
      </c>
      <c r="S44" s="55"/>
      <c r="T44" s="55" t="s">
        <v>286</v>
      </c>
      <c r="U44" s="55" t="s">
        <v>9</v>
      </c>
      <c r="V44" s="55"/>
      <c r="W44" s="55" t="s">
        <v>573</v>
      </c>
      <c r="X44" s="55" t="s">
        <v>417</v>
      </c>
    </row>
    <row r="45" spans="1:24" s="81" customFormat="1" ht="37.5" x14ac:dyDescent="0.3">
      <c r="A45" s="35">
        <v>230</v>
      </c>
      <c r="B45" s="99" t="s">
        <v>65</v>
      </c>
      <c r="C45" s="158" t="s">
        <v>1902</v>
      </c>
      <c r="D45" s="153" t="str">
        <f>VLOOKUP(F45,'Chị VA gửi 01.12.2025'!$B$2:$U$184,14,0)</f>
        <v>0707966066</v>
      </c>
      <c r="E45" s="50" t="s">
        <v>775</v>
      </c>
      <c r="F45" s="55" t="s">
        <v>343</v>
      </c>
      <c r="G45" s="55" t="s">
        <v>1837</v>
      </c>
      <c r="H45" s="99" t="s">
        <v>964</v>
      </c>
      <c r="I45" s="100"/>
      <c r="J45" s="100"/>
      <c r="K45" s="100"/>
      <c r="L45" s="100"/>
      <c r="M45" s="100"/>
      <c r="N45" s="83">
        <v>10714</v>
      </c>
      <c r="O45" s="100"/>
      <c r="P45" s="84">
        <v>19284</v>
      </c>
      <c r="Q45" s="84">
        <v>19284</v>
      </c>
      <c r="R45" s="84">
        <v>47140</v>
      </c>
      <c r="S45" s="55"/>
      <c r="T45" s="55" t="s">
        <v>286</v>
      </c>
      <c r="U45" s="55" t="s">
        <v>9</v>
      </c>
      <c r="V45" s="55"/>
      <c r="W45" s="55" t="s">
        <v>574</v>
      </c>
      <c r="X45" s="55" t="s">
        <v>418</v>
      </c>
    </row>
    <row r="46" spans="1:24" s="81" customFormat="1" ht="37.5" x14ac:dyDescent="0.3">
      <c r="A46" s="35">
        <v>229</v>
      </c>
      <c r="B46" s="99" t="s">
        <v>65</v>
      </c>
      <c r="C46" s="158" t="s">
        <v>1870</v>
      </c>
      <c r="D46" s="153" t="str">
        <f>VLOOKUP(F46,'Chị VA gửi 01.12.2025'!$B$2:$U$184,14,0)</f>
        <v>0707966066</v>
      </c>
      <c r="E46" s="50" t="s">
        <v>775</v>
      </c>
      <c r="F46" s="55" t="s">
        <v>344</v>
      </c>
      <c r="G46" s="55" t="s">
        <v>1830</v>
      </c>
      <c r="H46" s="99" t="s">
        <v>963</v>
      </c>
      <c r="I46" s="100"/>
      <c r="J46" s="100"/>
      <c r="K46" s="100"/>
      <c r="L46" s="83">
        <v>2044</v>
      </c>
      <c r="M46" s="100"/>
      <c r="N46" s="83">
        <v>6428</v>
      </c>
      <c r="O46" s="100"/>
      <c r="P46" s="55"/>
      <c r="Q46" s="55"/>
      <c r="R46" s="84">
        <v>25713</v>
      </c>
      <c r="S46" s="55"/>
      <c r="T46" s="55" t="s">
        <v>286</v>
      </c>
      <c r="U46" s="55" t="s">
        <v>9</v>
      </c>
      <c r="V46" s="55"/>
      <c r="W46" s="55" t="s">
        <v>575</v>
      </c>
      <c r="X46" s="55" t="s">
        <v>419</v>
      </c>
    </row>
    <row r="47" spans="1:24" s="81" customFormat="1" ht="37.5" x14ac:dyDescent="0.3">
      <c r="A47" s="35">
        <v>228</v>
      </c>
      <c r="B47" s="99" t="s">
        <v>65</v>
      </c>
      <c r="C47" s="158" t="s">
        <v>1760</v>
      </c>
      <c r="D47" s="153" t="str">
        <f>VLOOKUP(F47,'Chị VA gửi 01.12.2025'!$B$2:$U$184,14,0)</f>
        <v>0707966066</v>
      </c>
      <c r="E47" s="50" t="s">
        <v>775</v>
      </c>
      <c r="F47" s="55" t="s">
        <v>345</v>
      </c>
      <c r="G47" s="55" t="s">
        <v>1823</v>
      </c>
      <c r="H47" s="99" t="s">
        <v>962</v>
      </c>
      <c r="I47" s="100"/>
      <c r="J47" s="100"/>
      <c r="K47" s="100"/>
      <c r="L47" s="100"/>
      <c r="M47" s="100"/>
      <c r="N47" s="83">
        <v>8571</v>
      </c>
      <c r="O47" s="100"/>
      <c r="P47" s="55"/>
      <c r="Q47" s="55"/>
      <c r="R47" s="84">
        <v>21427</v>
      </c>
      <c r="S47" s="55"/>
      <c r="T47" s="55" t="s">
        <v>286</v>
      </c>
      <c r="U47" s="55" t="s">
        <v>9</v>
      </c>
      <c r="V47" s="55"/>
      <c r="W47" s="55" t="s">
        <v>576</v>
      </c>
      <c r="X47" s="55" t="s">
        <v>420</v>
      </c>
    </row>
    <row r="48" spans="1:24" s="81" customFormat="1" ht="37.5" x14ac:dyDescent="0.3">
      <c r="A48" s="35">
        <v>227</v>
      </c>
      <c r="B48" s="99" t="s">
        <v>65</v>
      </c>
      <c r="C48" s="156" t="str">
        <f>VLOOKUP(F48,'Chị VA gửi 01.12.2025'!$B$2:$U$184,7,0)</f>
        <v>70697124001545</v>
      </c>
      <c r="D48" s="55" t="str">
        <f>VLOOKUP(F48,'Chị VA gửi 01.12.2025'!$B$2:$U$184,14,0)</f>
        <v>0707966066</v>
      </c>
      <c r="E48" s="50" t="s">
        <v>775</v>
      </c>
      <c r="F48" s="55" t="s">
        <v>346</v>
      </c>
      <c r="G48" s="55" t="s">
        <v>1765</v>
      </c>
      <c r="H48" s="99" t="s">
        <v>961</v>
      </c>
      <c r="I48" s="100"/>
      <c r="J48" s="100"/>
      <c r="K48" s="100"/>
      <c r="L48" s="100"/>
      <c r="M48" s="100"/>
      <c r="N48" s="83">
        <v>19284</v>
      </c>
      <c r="O48" s="83">
        <v>12856</v>
      </c>
      <c r="P48" s="83">
        <v>2143</v>
      </c>
      <c r="Q48" s="83">
        <v>14999</v>
      </c>
      <c r="R48" s="83">
        <v>12856</v>
      </c>
      <c r="S48" s="83">
        <v>14999</v>
      </c>
      <c r="T48" s="55" t="s">
        <v>286</v>
      </c>
      <c r="U48" s="55" t="s">
        <v>9</v>
      </c>
      <c r="V48" s="55"/>
      <c r="W48" s="55">
        <v>11435114</v>
      </c>
      <c r="X48" s="55" t="s">
        <v>421</v>
      </c>
    </row>
    <row r="49" spans="1:24" s="81" customFormat="1" ht="37.5" x14ac:dyDescent="0.3">
      <c r="A49" s="35">
        <v>226</v>
      </c>
      <c r="B49" s="99" t="s">
        <v>65</v>
      </c>
      <c r="C49" s="158" t="s">
        <v>1875</v>
      </c>
      <c r="D49" s="153" t="str">
        <f>VLOOKUP(F49,'Chị VA gửi 01.12.2025'!$B$2:$U$184,14,0)</f>
        <v>0707966066</v>
      </c>
      <c r="E49" s="50" t="s">
        <v>775</v>
      </c>
      <c r="F49" s="55" t="s">
        <v>347</v>
      </c>
      <c r="G49" s="55" t="s">
        <v>1809</v>
      </c>
      <c r="H49" s="99" t="s">
        <v>960</v>
      </c>
      <c r="I49" s="100"/>
      <c r="J49" s="100"/>
      <c r="K49" s="100"/>
      <c r="L49" s="83">
        <v>2044</v>
      </c>
      <c r="M49" s="100"/>
      <c r="N49" s="83">
        <v>6428</v>
      </c>
      <c r="O49" s="100"/>
      <c r="P49" s="84">
        <v>2143</v>
      </c>
      <c r="Q49" s="84">
        <v>8571</v>
      </c>
      <c r="R49" s="84">
        <v>32141</v>
      </c>
      <c r="S49" s="55"/>
      <c r="T49" s="55" t="s">
        <v>286</v>
      </c>
      <c r="U49" s="55" t="s">
        <v>9</v>
      </c>
      <c r="V49" s="55"/>
      <c r="W49" s="55" t="s">
        <v>584</v>
      </c>
      <c r="X49" s="55" t="s">
        <v>422</v>
      </c>
    </row>
    <row r="50" spans="1:24" s="80" customFormat="1" ht="37.5" x14ac:dyDescent="0.3">
      <c r="A50" s="35">
        <v>225</v>
      </c>
      <c r="B50" s="95" t="s">
        <v>65</v>
      </c>
      <c r="C50" s="157" t="s">
        <v>1869</v>
      </c>
      <c r="D50" s="154" t="str">
        <f>VLOOKUP(F50,'Chị VA gửi 01.12.2025'!$B$2:$U$184,14,0)</f>
        <v>0707966066</v>
      </c>
      <c r="E50" s="95" t="s">
        <v>1907</v>
      </c>
      <c r="F50" s="94" t="s">
        <v>348</v>
      </c>
      <c r="G50" s="94" t="s">
        <v>1804</v>
      </c>
      <c r="H50" s="95" t="s">
        <v>959</v>
      </c>
      <c r="I50" s="96"/>
      <c r="J50" s="96"/>
      <c r="K50" s="96"/>
      <c r="L50" s="96"/>
      <c r="M50" s="96"/>
      <c r="N50" s="84">
        <v>8571</v>
      </c>
      <c r="O50" s="96"/>
      <c r="P50" s="84">
        <v>785709</v>
      </c>
      <c r="Q50" s="84">
        <v>813132</v>
      </c>
      <c r="R50" s="84">
        <v>312941</v>
      </c>
      <c r="S50" s="94"/>
      <c r="T50" s="94" t="s">
        <v>286</v>
      </c>
      <c r="U50" s="94" t="s">
        <v>9</v>
      </c>
      <c r="V50" s="94"/>
      <c r="W50" s="94" t="s">
        <v>585</v>
      </c>
      <c r="X50" s="94" t="s">
        <v>423</v>
      </c>
    </row>
    <row r="51" spans="1:24" s="80" customFormat="1" ht="37.5" x14ac:dyDescent="0.3">
      <c r="A51" s="35">
        <v>224</v>
      </c>
      <c r="B51" s="95" t="s">
        <v>65</v>
      </c>
      <c r="C51" s="157" t="s">
        <v>1877</v>
      </c>
      <c r="D51" s="154" t="str">
        <f>VLOOKUP(F51,'Chị VA gửi 01.12.2025'!$B$2:$U$184,14,0)</f>
        <v>0707966066</v>
      </c>
      <c r="E51" s="95" t="s">
        <v>1907</v>
      </c>
      <c r="F51" s="94" t="s">
        <v>349</v>
      </c>
      <c r="G51" s="94" t="s">
        <v>1799</v>
      </c>
      <c r="H51" s="95" t="s">
        <v>958</v>
      </c>
      <c r="I51" s="96"/>
      <c r="J51" s="96"/>
      <c r="K51" s="96"/>
      <c r="L51" s="84">
        <v>2044</v>
      </c>
      <c r="M51" s="96"/>
      <c r="N51" s="96"/>
      <c r="O51" s="84">
        <v>87852</v>
      </c>
      <c r="P51" s="84">
        <v>1066392</v>
      </c>
      <c r="Q51" s="84">
        <v>1142370</v>
      </c>
      <c r="R51" s="84">
        <v>464594</v>
      </c>
      <c r="S51" s="94"/>
      <c r="T51" s="94" t="s">
        <v>286</v>
      </c>
      <c r="U51" s="94" t="s">
        <v>9</v>
      </c>
      <c r="V51" s="94"/>
      <c r="W51" s="94" t="s">
        <v>586</v>
      </c>
      <c r="X51" s="94" t="s">
        <v>424</v>
      </c>
    </row>
    <row r="52" spans="1:24" s="80" customFormat="1" ht="37.5" x14ac:dyDescent="0.3">
      <c r="A52" s="35">
        <v>223</v>
      </c>
      <c r="B52" s="95" t="s">
        <v>65</v>
      </c>
      <c r="C52" s="157" t="s">
        <v>1772</v>
      </c>
      <c r="D52" s="154" t="str">
        <f>VLOOKUP(F52,'Chị VA gửi 01.12.2025'!$B$2:$U$184,14,0)</f>
        <v>0707966066</v>
      </c>
      <c r="E52" s="95" t="s">
        <v>1907</v>
      </c>
      <c r="F52" s="94" t="s">
        <v>350</v>
      </c>
      <c r="G52" s="94" t="s">
        <v>1790</v>
      </c>
      <c r="H52" s="95" t="s">
        <v>957</v>
      </c>
      <c r="I52" s="96"/>
      <c r="J52" s="96"/>
      <c r="K52" s="96"/>
      <c r="L52" s="84">
        <v>2044</v>
      </c>
      <c r="M52" s="96"/>
      <c r="N52" s="96"/>
      <c r="O52" s="84">
        <v>89994</v>
      </c>
      <c r="P52" s="84">
        <v>669146</v>
      </c>
      <c r="Q52" s="84">
        <v>727428</v>
      </c>
      <c r="R52" s="84">
        <v>333504</v>
      </c>
      <c r="S52" s="84">
        <v>2143</v>
      </c>
      <c r="T52" s="94" t="s">
        <v>286</v>
      </c>
      <c r="U52" s="94" t="s">
        <v>9</v>
      </c>
      <c r="V52" s="94"/>
      <c r="W52" s="94" t="s">
        <v>587</v>
      </c>
      <c r="X52" s="94" t="s">
        <v>425</v>
      </c>
    </row>
    <row r="53" spans="1:24" s="80" customFormat="1" ht="37.5" x14ac:dyDescent="0.3">
      <c r="A53" s="35">
        <v>222</v>
      </c>
      <c r="B53" s="95" t="s">
        <v>65</v>
      </c>
      <c r="C53" s="157" t="s">
        <v>1859</v>
      </c>
      <c r="D53" s="154" t="str">
        <f>VLOOKUP(F53,'Chị VA gửi 01.12.2025'!$B$2:$U$184,14,0)</f>
        <v>0707966066</v>
      </c>
      <c r="E53" s="95" t="s">
        <v>1907</v>
      </c>
      <c r="F53" s="94" t="s">
        <v>351</v>
      </c>
      <c r="G53" s="94" t="s">
        <v>1784</v>
      </c>
      <c r="H53" s="95" t="s">
        <v>956</v>
      </c>
      <c r="I53" s="96"/>
      <c r="J53" s="96"/>
      <c r="K53" s="96"/>
      <c r="L53" s="84">
        <v>2044</v>
      </c>
      <c r="M53" s="96"/>
      <c r="N53" s="84">
        <v>14999</v>
      </c>
      <c r="O53" s="84">
        <v>2143</v>
      </c>
      <c r="P53" s="84">
        <v>1066392</v>
      </c>
      <c r="Q53" s="84">
        <v>946998</v>
      </c>
      <c r="R53" s="84">
        <v>559060</v>
      </c>
      <c r="S53" s="84">
        <v>2143</v>
      </c>
      <c r="T53" s="94" t="s">
        <v>286</v>
      </c>
      <c r="U53" s="94" t="s">
        <v>9</v>
      </c>
      <c r="V53" s="94"/>
      <c r="W53" s="94" t="s">
        <v>588</v>
      </c>
      <c r="X53" s="94" t="s">
        <v>426</v>
      </c>
    </row>
    <row r="54" spans="1:24" s="80" customFormat="1" ht="37.5" x14ac:dyDescent="0.3">
      <c r="A54" s="35">
        <v>221</v>
      </c>
      <c r="B54" s="95" t="s">
        <v>65</v>
      </c>
      <c r="C54" s="157" t="s">
        <v>1874</v>
      </c>
      <c r="D54" s="154" t="str">
        <f>VLOOKUP(F54,'Chị VA gửi 01.12.2025'!$B$2:$U$184,14,0)</f>
        <v>0707966066</v>
      </c>
      <c r="E54" s="95" t="s">
        <v>1907</v>
      </c>
      <c r="F54" s="94" t="s">
        <v>352</v>
      </c>
      <c r="G54" s="94" t="s">
        <v>1776</v>
      </c>
      <c r="H54" s="95" t="s">
        <v>955</v>
      </c>
      <c r="I54" s="96"/>
      <c r="J54" s="96"/>
      <c r="K54" s="96"/>
      <c r="L54" s="84">
        <v>6133</v>
      </c>
      <c r="M54" s="84">
        <v>10615</v>
      </c>
      <c r="N54" s="84">
        <v>17142</v>
      </c>
      <c r="O54" s="84">
        <v>10714</v>
      </c>
      <c r="P54" s="84">
        <v>842076</v>
      </c>
      <c r="Q54" s="84">
        <v>954234</v>
      </c>
      <c r="R54" s="84">
        <v>549346</v>
      </c>
      <c r="S54" s="84">
        <v>8571</v>
      </c>
      <c r="T54" s="94" t="s">
        <v>286</v>
      </c>
      <c r="U54" s="94" t="s">
        <v>9</v>
      </c>
      <c r="V54" s="94"/>
      <c r="W54" s="94" t="s">
        <v>589</v>
      </c>
      <c r="X54" s="94" t="s">
        <v>427</v>
      </c>
    </row>
    <row r="55" spans="1:24" s="80" customFormat="1" ht="37.5" x14ac:dyDescent="0.3">
      <c r="A55" s="35">
        <v>220</v>
      </c>
      <c r="B55" s="95" t="s">
        <v>65</v>
      </c>
      <c r="C55" s="157" t="s">
        <v>1758</v>
      </c>
      <c r="D55" s="154" t="str">
        <f>VLOOKUP(F55,'Chị VA gửi 01.12.2025'!$B$2:$U$184,14,0)</f>
        <v>0707966066</v>
      </c>
      <c r="E55" s="95" t="s">
        <v>1907</v>
      </c>
      <c r="F55" s="94" t="s">
        <v>353</v>
      </c>
      <c r="G55" s="94" t="s">
        <v>1849</v>
      </c>
      <c r="H55" s="95" t="s">
        <v>954</v>
      </c>
      <c r="I55" s="96"/>
      <c r="J55" s="96"/>
      <c r="K55" s="96"/>
      <c r="L55" s="96"/>
      <c r="M55" s="96"/>
      <c r="N55" s="84">
        <v>14999</v>
      </c>
      <c r="O55" s="96"/>
      <c r="P55" s="84">
        <v>633530</v>
      </c>
      <c r="Q55" s="84">
        <v>720952</v>
      </c>
      <c r="R55" s="84">
        <v>402905</v>
      </c>
      <c r="S55" s="94"/>
      <c r="T55" s="94" t="s">
        <v>286</v>
      </c>
      <c r="U55" s="94" t="s">
        <v>9</v>
      </c>
      <c r="V55" s="94"/>
      <c r="W55" s="94" t="s">
        <v>590</v>
      </c>
      <c r="X55" s="94" t="s">
        <v>428</v>
      </c>
    </row>
    <row r="56" spans="1:24" s="80" customFormat="1" ht="37.5" x14ac:dyDescent="0.3">
      <c r="A56" s="35">
        <v>219</v>
      </c>
      <c r="B56" s="95" t="s">
        <v>65</v>
      </c>
      <c r="C56" s="157" t="s">
        <v>1754</v>
      </c>
      <c r="D56" s="154" t="str">
        <f>VLOOKUP(F56,'Chị VA gửi 01.12.2025'!$B$2:$U$184,14,0)</f>
        <v>0707966066</v>
      </c>
      <c r="E56" s="95" t="s">
        <v>1907</v>
      </c>
      <c r="F56" s="94" t="s">
        <v>354</v>
      </c>
      <c r="G56" s="94" t="s">
        <v>1848</v>
      </c>
      <c r="H56" s="95" t="s">
        <v>953</v>
      </c>
      <c r="I56" s="96"/>
      <c r="J56" s="96"/>
      <c r="K56" s="96"/>
      <c r="L56" s="84">
        <v>2044</v>
      </c>
      <c r="M56" s="96"/>
      <c r="N56" s="84">
        <v>6428</v>
      </c>
      <c r="O56" s="96"/>
      <c r="P56" s="84">
        <v>878256</v>
      </c>
      <c r="Q56" s="84">
        <v>1106190</v>
      </c>
      <c r="R56" s="84">
        <v>730665</v>
      </c>
      <c r="S56" s="94"/>
      <c r="T56" s="94" t="s">
        <v>286</v>
      </c>
      <c r="U56" s="94" t="s">
        <v>9</v>
      </c>
      <c r="V56" s="94"/>
      <c r="W56" s="94" t="s">
        <v>591</v>
      </c>
      <c r="X56" s="94" t="s">
        <v>429</v>
      </c>
    </row>
    <row r="57" spans="1:24" s="80" customFormat="1" ht="37.5" x14ac:dyDescent="0.3">
      <c r="A57" s="35">
        <v>218</v>
      </c>
      <c r="B57" s="95" t="s">
        <v>65</v>
      </c>
      <c r="C57" s="157" t="s">
        <v>1889</v>
      </c>
      <c r="D57" s="154" t="str">
        <f>VLOOKUP(F57,'Chị VA gửi 01.12.2025'!$B$2:$U$184,14,0)</f>
        <v>0707966066</v>
      </c>
      <c r="E57" s="95" t="s">
        <v>1907</v>
      </c>
      <c r="F57" s="94" t="s">
        <v>355</v>
      </c>
      <c r="G57" s="94" t="s">
        <v>1847</v>
      </c>
      <c r="H57" s="95" t="s">
        <v>952</v>
      </c>
      <c r="I57" s="96"/>
      <c r="J57" s="96"/>
      <c r="K57" s="96"/>
      <c r="L57" s="96"/>
      <c r="M57" s="96"/>
      <c r="N57" s="84">
        <v>14999</v>
      </c>
      <c r="O57" s="96"/>
      <c r="P57" s="84">
        <v>1511719</v>
      </c>
      <c r="Q57" s="84">
        <v>1369721</v>
      </c>
      <c r="R57" s="84">
        <v>845694</v>
      </c>
      <c r="S57" s="94"/>
      <c r="T57" s="94" t="s">
        <v>286</v>
      </c>
      <c r="U57" s="94" t="s">
        <v>9</v>
      </c>
      <c r="V57" s="94"/>
      <c r="W57" s="94" t="s">
        <v>592</v>
      </c>
      <c r="X57" s="94" t="s">
        <v>430</v>
      </c>
    </row>
    <row r="58" spans="1:24" s="80" customFormat="1" ht="37.5" x14ac:dyDescent="0.3">
      <c r="A58" s="35">
        <v>217</v>
      </c>
      <c r="B58" s="95" t="s">
        <v>65</v>
      </c>
      <c r="C58" s="157" t="s">
        <v>1851</v>
      </c>
      <c r="D58" s="154" t="str">
        <f>VLOOKUP(F58,'Chị VA gửi 01.12.2025'!$B$2:$U$184,14,0)</f>
        <v>0707966066</v>
      </c>
      <c r="E58" s="95" t="s">
        <v>1907</v>
      </c>
      <c r="F58" s="94" t="s">
        <v>356</v>
      </c>
      <c r="G58" s="94" t="s">
        <v>1846</v>
      </c>
      <c r="H58" s="95" t="s">
        <v>951</v>
      </c>
      <c r="I58" s="96"/>
      <c r="J58" s="96"/>
      <c r="K58" s="96"/>
      <c r="L58" s="96"/>
      <c r="M58" s="96"/>
      <c r="N58" s="84">
        <v>10714</v>
      </c>
      <c r="O58" s="96"/>
      <c r="P58" s="84">
        <v>144774</v>
      </c>
      <c r="Q58" s="84">
        <v>379771</v>
      </c>
      <c r="R58" s="84">
        <v>302659</v>
      </c>
      <c r="S58" s="94"/>
      <c r="T58" s="94" t="s">
        <v>286</v>
      </c>
      <c r="U58" s="94" t="s">
        <v>9</v>
      </c>
      <c r="V58" s="94"/>
      <c r="W58" s="94" t="s">
        <v>593</v>
      </c>
      <c r="X58" s="94" t="s">
        <v>431</v>
      </c>
    </row>
    <row r="59" spans="1:24" s="80" customFormat="1" ht="37.5" x14ac:dyDescent="0.3">
      <c r="A59" s="35">
        <v>216</v>
      </c>
      <c r="B59" s="95" t="s">
        <v>65</v>
      </c>
      <c r="C59" s="157" t="s">
        <v>1879</v>
      </c>
      <c r="D59" s="154" t="str">
        <f>VLOOKUP(F59,'Chị VA gửi 01.12.2025'!$B$2:$U$184,14,0)</f>
        <v>0707966066</v>
      </c>
      <c r="E59" s="95" t="s">
        <v>1907</v>
      </c>
      <c r="F59" s="94" t="s">
        <v>357</v>
      </c>
      <c r="G59" s="94" t="s">
        <v>1845</v>
      </c>
      <c r="H59" s="95" t="s">
        <v>950</v>
      </c>
      <c r="I59" s="96"/>
      <c r="J59" s="96"/>
      <c r="K59" s="96"/>
      <c r="L59" s="96"/>
      <c r="M59" s="96"/>
      <c r="N59" s="84">
        <v>6428</v>
      </c>
      <c r="O59" s="96"/>
      <c r="P59" s="84">
        <v>410616</v>
      </c>
      <c r="Q59" s="84">
        <v>610865</v>
      </c>
      <c r="R59" s="84">
        <v>366919</v>
      </c>
      <c r="S59" s="94"/>
      <c r="T59" s="94" t="s">
        <v>286</v>
      </c>
      <c r="U59" s="94" t="s">
        <v>9</v>
      </c>
      <c r="V59" s="94"/>
      <c r="W59" s="94" t="s">
        <v>594</v>
      </c>
      <c r="X59" s="94" t="s">
        <v>432</v>
      </c>
    </row>
    <row r="60" spans="1:24" s="80" customFormat="1" ht="37.5" x14ac:dyDescent="0.3">
      <c r="A60" s="35">
        <v>215</v>
      </c>
      <c r="B60" s="95" t="s">
        <v>65</v>
      </c>
      <c r="C60" s="157" t="s">
        <v>1865</v>
      </c>
      <c r="D60" s="154" t="str">
        <f>VLOOKUP(F60,'Chị VA gửi 01.12.2025'!$B$2:$U$184,14,0)</f>
        <v>0707966066</v>
      </c>
      <c r="E60" s="95" t="s">
        <v>1907</v>
      </c>
      <c r="F60" s="94" t="s">
        <v>358</v>
      </c>
      <c r="G60" s="94" t="s">
        <v>1844</v>
      </c>
      <c r="H60" s="95" t="s">
        <v>949</v>
      </c>
      <c r="I60" s="96"/>
      <c r="J60" s="96"/>
      <c r="K60" s="96"/>
      <c r="L60" s="84">
        <v>2044</v>
      </c>
      <c r="M60" s="96"/>
      <c r="N60" s="84">
        <v>17142</v>
      </c>
      <c r="O60" s="96"/>
      <c r="P60" s="84">
        <v>536395</v>
      </c>
      <c r="Q60" s="84">
        <v>591438</v>
      </c>
      <c r="R60" s="84">
        <v>338645</v>
      </c>
      <c r="S60" s="84">
        <v>8571</v>
      </c>
      <c r="T60" s="94" t="s">
        <v>286</v>
      </c>
      <c r="U60" s="94" t="s">
        <v>9</v>
      </c>
      <c r="V60" s="94"/>
      <c r="W60" s="94" t="s">
        <v>595</v>
      </c>
      <c r="X60" s="94" t="s">
        <v>433</v>
      </c>
    </row>
    <row r="61" spans="1:24" s="80" customFormat="1" ht="37.5" x14ac:dyDescent="0.3">
      <c r="A61" s="35">
        <v>214</v>
      </c>
      <c r="B61" s="95" t="s">
        <v>65</v>
      </c>
      <c r="C61" s="157" t="s">
        <v>1891</v>
      </c>
      <c r="D61" s="94" t="str">
        <f>VLOOKUP(F61,'Chị VA gửi 01.12.2025'!$B$2:$U$184,14,0)</f>
        <v>0707966066</v>
      </c>
      <c r="E61" s="95" t="s">
        <v>1907</v>
      </c>
      <c r="F61" s="94" t="s">
        <v>359</v>
      </c>
      <c r="G61" s="94" t="s">
        <v>1843</v>
      </c>
      <c r="H61" s="95" t="s">
        <v>948</v>
      </c>
      <c r="I61" s="96"/>
      <c r="J61" s="96"/>
      <c r="K61" s="96"/>
      <c r="L61" s="84">
        <v>2044</v>
      </c>
      <c r="M61" s="96"/>
      <c r="N61" s="84">
        <v>14999</v>
      </c>
      <c r="O61" s="84">
        <v>47140</v>
      </c>
      <c r="P61" s="84">
        <v>630292</v>
      </c>
      <c r="Q61" s="84">
        <v>936144</v>
      </c>
      <c r="R61" s="84">
        <v>504017</v>
      </c>
      <c r="S61" s="84">
        <v>6428</v>
      </c>
      <c r="T61" s="94" t="s">
        <v>286</v>
      </c>
      <c r="U61" s="94" t="s">
        <v>9</v>
      </c>
      <c r="V61" s="94"/>
      <c r="W61" s="94" t="s">
        <v>596</v>
      </c>
      <c r="X61" s="94" t="s">
        <v>434</v>
      </c>
    </row>
    <row r="62" spans="1:24" s="81" customFormat="1" ht="37.5" x14ac:dyDescent="0.3">
      <c r="A62" s="35">
        <v>213</v>
      </c>
      <c r="B62" s="99" t="s">
        <v>65</v>
      </c>
      <c r="C62" s="158" t="s">
        <v>1767</v>
      </c>
      <c r="D62" s="153" t="str">
        <f>VLOOKUP(F62,'Chị VA gửi 01.12.2025'!$B$2:$U$184,14,0)</f>
        <v>0707966066</v>
      </c>
      <c r="E62" s="50" t="s">
        <v>775</v>
      </c>
      <c r="F62" s="55" t="s">
        <v>360</v>
      </c>
      <c r="G62" s="55" t="s">
        <v>1842</v>
      </c>
      <c r="H62" s="99" t="s">
        <v>947</v>
      </c>
      <c r="I62" s="100"/>
      <c r="J62" s="100"/>
      <c r="K62" s="100"/>
      <c r="L62" s="83">
        <v>20444</v>
      </c>
      <c r="M62" s="100"/>
      <c r="N62" s="100"/>
      <c r="O62" s="83">
        <v>14999</v>
      </c>
      <c r="P62" s="55"/>
      <c r="Q62" s="83">
        <v>12856</v>
      </c>
      <c r="R62" s="55"/>
      <c r="S62" s="55"/>
      <c r="T62" s="55" t="s">
        <v>286</v>
      </c>
      <c r="U62" s="55" t="s">
        <v>9</v>
      </c>
      <c r="V62" s="55"/>
      <c r="W62" s="55" t="s">
        <v>597</v>
      </c>
      <c r="X62" s="55" t="s">
        <v>435</v>
      </c>
    </row>
    <row r="63" spans="1:24" s="80" customFormat="1" ht="37.5" x14ac:dyDescent="0.3">
      <c r="A63" s="35">
        <v>282</v>
      </c>
      <c r="B63" s="95" t="s">
        <v>65</v>
      </c>
      <c r="C63" s="157" t="s">
        <v>1770</v>
      </c>
      <c r="D63" s="154" t="str">
        <f>VLOOKUP(F63,'Chị VA gửi 01.12.2025'!$B$2:$U$184,14,0)</f>
        <v>0707966066</v>
      </c>
      <c r="E63" s="94" t="s">
        <v>641</v>
      </c>
      <c r="F63" s="94" t="s">
        <v>612</v>
      </c>
      <c r="G63" s="94" t="s">
        <v>1787</v>
      </c>
      <c r="H63" s="95" t="s">
        <v>1016</v>
      </c>
      <c r="I63" s="83">
        <v>47022</v>
      </c>
      <c r="J63" s="83">
        <v>34755</v>
      </c>
      <c r="K63" s="83">
        <v>288784</v>
      </c>
      <c r="L63" s="83">
        <v>347649</v>
      </c>
      <c r="M63" s="83">
        <v>397553</v>
      </c>
      <c r="N63" s="83">
        <v>282096</v>
      </c>
      <c r="O63" s="83">
        <v>169128</v>
      </c>
      <c r="P63" s="83">
        <v>230688</v>
      </c>
      <c r="Q63" s="83">
        <v>40712</v>
      </c>
      <c r="R63" s="83">
        <v>87852</v>
      </c>
      <c r="S63" s="83">
        <v>133704</v>
      </c>
      <c r="T63" s="94" t="s">
        <v>286</v>
      </c>
      <c r="U63" s="94" t="s">
        <v>9</v>
      </c>
      <c r="V63" s="94"/>
      <c r="W63" s="94" t="s">
        <v>613</v>
      </c>
      <c r="X63" s="94" t="s">
        <v>387</v>
      </c>
    </row>
    <row r="64" spans="1:24" s="81" customFormat="1" ht="37.5" x14ac:dyDescent="0.3">
      <c r="A64" s="35">
        <v>236</v>
      </c>
      <c r="B64" s="99" t="s">
        <v>65</v>
      </c>
      <c r="C64" s="158" t="s">
        <v>1860</v>
      </c>
      <c r="D64" s="153" t="str">
        <f>VLOOKUP(F64,'Chị VA gửi 01.12.2025'!$B$2:$U$184,14,0)</f>
        <v>0707966066</v>
      </c>
      <c r="E64" s="50" t="s">
        <v>775</v>
      </c>
      <c r="F64" s="55" t="s">
        <v>610</v>
      </c>
      <c r="G64" s="55" t="s">
        <v>1810</v>
      </c>
      <c r="H64" s="99" t="s">
        <v>970</v>
      </c>
      <c r="I64" s="100"/>
      <c r="J64" s="100"/>
      <c r="K64" s="100"/>
      <c r="L64" s="100"/>
      <c r="M64" s="100"/>
      <c r="N64" s="83">
        <v>19284</v>
      </c>
      <c r="O64" s="83">
        <v>36426</v>
      </c>
      <c r="P64" s="83">
        <v>6428</v>
      </c>
      <c r="Q64" s="83">
        <v>38569</v>
      </c>
      <c r="R64" s="83">
        <v>38569</v>
      </c>
      <c r="S64" s="83">
        <v>36426</v>
      </c>
      <c r="T64" s="55" t="s">
        <v>286</v>
      </c>
      <c r="U64" s="55" t="s">
        <v>9</v>
      </c>
      <c r="V64" s="55"/>
      <c r="W64" s="55" t="s">
        <v>611</v>
      </c>
      <c r="X64" s="55" t="s">
        <v>365</v>
      </c>
    </row>
    <row r="65" spans="1:24" s="81" customFormat="1" ht="37.5" x14ac:dyDescent="0.3">
      <c r="A65" s="35">
        <v>242</v>
      </c>
      <c r="B65" s="99" t="s">
        <v>65</v>
      </c>
      <c r="C65" s="158" t="s">
        <v>1757</v>
      </c>
      <c r="D65" s="153" t="str">
        <f>VLOOKUP(F65,'Chị VA gửi 01.12.2025'!$B$2:$U$184,14,0)</f>
        <v>0707966066</v>
      </c>
      <c r="E65" s="50" t="s">
        <v>775</v>
      </c>
      <c r="F65" s="55" t="s">
        <v>622</v>
      </c>
      <c r="G65" s="55" t="s">
        <v>1762</v>
      </c>
      <c r="H65" s="99" t="s">
        <v>976</v>
      </c>
      <c r="I65" s="100"/>
      <c r="J65" s="100"/>
      <c r="K65" s="100"/>
      <c r="L65" s="100"/>
      <c r="M65" s="100"/>
      <c r="N65" s="83">
        <v>10714</v>
      </c>
      <c r="O65" s="100"/>
      <c r="P65" s="55"/>
      <c r="Q65" s="55"/>
      <c r="R65" s="84">
        <v>25713</v>
      </c>
      <c r="S65" s="55"/>
      <c r="T65" s="55" t="s">
        <v>286</v>
      </c>
      <c r="U65" s="55" t="s">
        <v>9</v>
      </c>
      <c r="V65" s="55"/>
      <c r="W65" s="55" t="s">
        <v>623</v>
      </c>
      <c r="X65" s="55" t="s">
        <v>371</v>
      </c>
    </row>
    <row r="66" spans="1:24" s="81" customFormat="1" ht="37.5" x14ac:dyDescent="0.3">
      <c r="A66" s="35">
        <v>245</v>
      </c>
      <c r="B66" s="99" t="s">
        <v>65</v>
      </c>
      <c r="C66" s="158" t="s">
        <v>1896</v>
      </c>
      <c r="D66" s="153" t="str">
        <f>VLOOKUP(F66,'Chị VA gửi 01.12.2025'!$B$2:$U$184,14,0)</f>
        <v>0707966066</v>
      </c>
      <c r="E66" s="50" t="s">
        <v>775</v>
      </c>
      <c r="F66" s="55" t="s">
        <v>633</v>
      </c>
      <c r="G66" s="55" t="s">
        <v>1805</v>
      </c>
      <c r="H66" s="99" t="s">
        <v>979</v>
      </c>
      <c r="I66" s="100"/>
      <c r="J66" s="100"/>
      <c r="K66" s="100"/>
      <c r="L66" s="100"/>
      <c r="M66" s="100"/>
      <c r="N66" s="83">
        <v>17142</v>
      </c>
      <c r="O66" s="100"/>
      <c r="P66" s="55"/>
      <c r="Q66" s="83">
        <v>12856</v>
      </c>
      <c r="R66" s="55"/>
      <c r="S66" s="55"/>
      <c r="T66" s="55" t="s">
        <v>286</v>
      </c>
      <c r="U66" s="55" t="s">
        <v>9</v>
      </c>
      <c r="V66" s="55"/>
      <c r="W66" s="55" t="s">
        <v>624</v>
      </c>
      <c r="X66" s="55" t="s">
        <v>374</v>
      </c>
    </row>
    <row r="67" spans="1:24" s="81" customFormat="1" ht="37.5" x14ac:dyDescent="0.3">
      <c r="A67" s="35">
        <v>246</v>
      </c>
      <c r="B67" s="99" t="s">
        <v>65</v>
      </c>
      <c r="C67" s="158" t="s">
        <v>1858</v>
      </c>
      <c r="D67" s="153" t="str">
        <f>VLOOKUP(F67,'Chị VA gửi 01.12.2025'!$B$2:$U$184,14,0)</f>
        <v>0707966066</v>
      </c>
      <c r="E67" s="50" t="s">
        <v>775</v>
      </c>
      <c r="F67" s="55" t="s">
        <v>634</v>
      </c>
      <c r="G67" s="55" t="s">
        <v>1811</v>
      </c>
      <c r="H67" s="99" t="s">
        <v>980</v>
      </c>
      <c r="I67" s="100"/>
      <c r="J67" s="100"/>
      <c r="K67" s="100"/>
      <c r="L67" s="83">
        <v>2044</v>
      </c>
      <c r="M67" s="100"/>
      <c r="N67" s="100"/>
      <c r="O67" s="83">
        <v>27855</v>
      </c>
      <c r="P67" s="83">
        <v>10714</v>
      </c>
      <c r="Q67" s="100"/>
      <c r="R67" s="100"/>
      <c r="S67" s="83">
        <v>2143</v>
      </c>
      <c r="T67" s="55" t="s">
        <v>286</v>
      </c>
      <c r="U67" s="55" t="s">
        <v>9</v>
      </c>
      <c r="V67" s="55"/>
      <c r="W67" s="55" t="s">
        <v>625</v>
      </c>
      <c r="X67" s="55" t="s">
        <v>375</v>
      </c>
    </row>
    <row r="68" spans="1:24" s="81" customFormat="1" ht="37.5" x14ac:dyDescent="0.3">
      <c r="A68" s="35">
        <v>247</v>
      </c>
      <c r="B68" s="99" t="s">
        <v>65</v>
      </c>
      <c r="C68" s="158" t="s">
        <v>1769</v>
      </c>
      <c r="D68" s="153" t="str">
        <f>VLOOKUP(F68,'Chị VA gửi 01.12.2025'!$B$2:$U$184,14,0)</f>
        <v>0707966066</v>
      </c>
      <c r="E68" s="50" t="s">
        <v>775</v>
      </c>
      <c r="F68" s="55" t="s">
        <v>635</v>
      </c>
      <c r="G68" s="55" t="s">
        <v>1818</v>
      </c>
      <c r="H68" s="99" t="s">
        <v>981</v>
      </c>
      <c r="I68" s="83">
        <v>4089</v>
      </c>
      <c r="J68" s="100"/>
      <c r="K68" s="100"/>
      <c r="L68" s="100"/>
      <c r="M68" s="100"/>
      <c r="N68" s="83">
        <v>32141</v>
      </c>
      <c r="O68" s="100"/>
      <c r="P68" s="100"/>
      <c r="Q68" s="83">
        <v>25713</v>
      </c>
      <c r="R68" s="55"/>
      <c r="S68" s="55"/>
      <c r="T68" s="55" t="s">
        <v>286</v>
      </c>
      <c r="U68" s="55" t="s">
        <v>9</v>
      </c>
      <c r="V68" s="55"/>
      <c r="W68" s="55" t="s">
        <v>626</v>
      </c>
      <c r="X68" s="55" t="s">
        <v>376</v>
      </c>
    </row>
    <row r="69" spans="1:24" s="81" customFormat="1" ht="37.5" x14ac:dyDescent="0.3">
      <c r="A69" s="35">
        <v>248</v>
      </c>
      <c r="B69" s="99" t="s">
        <v>65</v>
      </c>
      <c r="C69" s="158" t="s">
        <v>1899</v>
      </c>
      <c r="D69" s="153" t="str">
        <f>VLOOKUP(F69,'Chị VA gửi 01.12.2025'!$B$2:$U$184,14,0)</f>
        <v>0707966066</v>
      </c>
      <c r="E69" s="50" t="s">
        <v>775</v>
      </c>
      <c r="F69" s="55" t="s">
        <v>636</v>
      </c>
      <c r="G69" s="55" t="s">
        <v>1824</v>
      </c>
      <c r="H69" s="99" t="s">
        <v>982</v>
      </c>
      <c r="I69" s="100"/>
      <c r="J69" s="100"/>
      <c r="K69" s="100"/>
      <c r="L69" s="100"/>
      <c r="M69" s="100"/>
      <c r="N69" s="100"/>
      <c r="O69" s="83">
        <v>193482</v>
      </c>
      <c r="P69" s="83">
        <v>10714</v>
      </c>
      <c r="Q69" s="100"/>
      <c r="R69" s="100"/>
      <c r="S69" s="83">
        <v>40712</v>
      </c>
      <c r="T69" s="55" t="s">
        <v>286</v>
      </c>
      <c r="U69" s="55" t="s">
        <v>9</v>
      </c>
      <c r="V69" s="55"/>
      <c r="W69" s="55" t="s">
        <v>627</v>
      </c>
      <c r="X69" s="55" t="s">
        <v>377</v>
      </c>
    </row>
    <row r="70" spans="1:24" s="81" customFormat="1" ht="37.5" x14ac:dyDescent="0.3">
      <c r="A70" s="35">
        <v>249</v>
      </c>
      <c r="B70" s="99" t="s">
        <v>65</v>
      </c>
      <c r="C70" s="158" t="s">
        <v>1880</v>
      </c>
      <c r="D70" s="153" t="str">
        <f>VLOOKUP(F70,'Chị VA gửi 01.12.2025'!$B$2:$U$184,14,0)</f>
        <v>0707966066</v>
      </c>
      <c r="E70" s="50" t="s">
        <v>775</v>
      </c>
      <c r="F70" s="55" t="s">
        <v>637</v>
      </c>
      <c r="G70" s="55" t="s">
        <v>1831</v>
      </c>
      <c r="H70" s="99" t="s">
        <v>983</v>
      </c>
      <c r="I70" s="100"/>
      <c r="J70" s="83">
        <v>59289</v>
      </c>
      <c r="K70" s="83">
        <v>69511</v>
      </c>
      <c r="L70" s="100"/>
      <c r="M70" s="100"/>
      <c r="N70" s="100"/>
      <c r="O70" s="83">
        <v>102851</v>
      </c>
      <c r="P70" s="83"/>
      <c r="Q70" s="83">
        <v>12856</v>
      </c>
      <c r="R70" s="55"/>
      <c r="S70" s="55"/>
      <c r="T70" s="55" t="s">
        <v>286</v>
      </c>
      <c r="U70" s="55" t="s">
        <v>9</v>
      </c>
      <c r="V70" s="55"/>
      <c r="W70" s="55" t="s">
        <v>628</v>
      </c>
      <c r="X70" s="55" t="s">
        <v>378</v>
      </c>
    </row>
    <row r="71" spans="1:24" s="81" customFormat="1" ht="37.5" x14ac:dyDescent="0.3">
      <c r="A71" s="35">
        <v>250</v>
      </c>
      <c r="B71" s="99" t="s">
        <v>65</v>
      </c>
      <c r="C71" s="158" t="s">
        <v>1850</v>
      </c>
      <c r="D71" s="153" t="str">
        <f>VLOOKUP(F71,'Chị VA gửi 01.12.2025'!$B$2:$U$184,14,0)</f>
        <v>0707966066</v>
      </c>
      <c r="E71" s="50" t="s">
        <v>775</v>
      </c>
      <c r="F71" s="55" t="s">
        <v>638</v>
      </c>
      <c r="G71" s="55" t="s">
        <v>1838</v>
      </c>
      <c r="H71" s="99" t="s">
        <v>984</v>
      </c>
      <c r="I71" s="100"/>
      <c r="J71" s="100"/>
      <c r="K71" s="83">
        <v>8178</v>
      </c>
      <c r="L71" s="83">
        <v>2044</v>
      </c>
      <c r="M71" s="100"/>
      <c r="N71" s="83">
        <v>8571</v>
      </c>
      <c r="O71" s="83">
        <v>25713</v>
      </c>
      <c r="P71" s="55"/>
      <c r="Q71" s="83">
        <v>12856</v>
      </c>
      <c r="R71" s="55"/>
      <c r="S71" s="55"/>
      <c r="T71" s="55" t="s">
        <v>286</v>
      </c>
      <c r="U71" s="55" t="s">
        <v>9</v>
      </c>
      <c r="V71" s="55"/>
      <c r="W71" s="55" t="s">
        <v>629</v>
      </c>
      <c r="X71" s="55" t="s">
        <v>379</v>
      </c>
    </row>
    <row r="72" spans="1:24" s="81" customFormat="1" ht="37.5" x14ac:dyDescent="0.3">
      <c r="A72" s="35">
        <v>251</v>
      </c>
      <c r="B72" s="99" t="s">
        <v>65</v>
      </c>
      <c r="C72" s="158" t="s">
        <v>1855</v>
      </c>
      <c r="D72" s="153" t="str">
        <f>VLOOKUP(F72,'Chị VA gửi 01.12.2025'!$B$2:$U$184,14,0)</f>
        <v>0707966066</v>
      </c>
      <c r="E72" s="50" t="s">
        <v>775</v>
      </c>
      <c r="F72" s="55" t="s">
        <v>639</v>
      </c>
      <c r="G72" s="55" t="s">
        <v>1778</v>
      </c>
      <c r="H72" s="99" t="s">
        <v>985</v>
      </c>
      <c r="I72" s="100"/>
      <c r="J72" s="100"/>
      <c r="K72" s="100"/>
      <c r="L72" s="83">
        <v>2044</v>
      </c>
      <c r="M72" s="100"/>
      <c r="N72" s="83">
        <v>17142</v>
      </c>
      <c r="O72" s="100"/>
      <c r="P72" s="55"/>
      <c r="Q72" s="55"/>
      <c r="R72" s="84">
        <v>27855</v>
      </c>
      <c r="S72" s="55"/>
      <c r="T72" s="55" t="s">
        <v>286</v>
      </c>
      <c r="U72" s="55" t="s">
        <v>9</v>
      </c>
      <c r="V72" s="55"/>
      <c r="W72" s="55" t="s">
        <v>630</v>
      </c>
      <c r="X72" s="55" t="s">
        <v>380</v>
      </c>
    </row>
    <row r="73" spans="1:24" s="81" customFormat="1" ht="37.5" x14ac:dyDescent="0.3">
      <c r="A73" s="35">
        <v>252</v>
      </c>
      <c r="B73" s="99" t="s">
        <v>65</v>
      </c>
      <c r="C73" s="158" t="s">
        <v>1903</v>
      </c>
      <c r="D73" s="55" t="str">
        <f>VLOOKUP(F73,'Chị VA gửi 01.12.2025'!$B$2:$U$184,14,0)</f>
        <v>0707966066</v>
      </c>
      <c r="E73" s="50" t="s">
        <v>775</v>
      </c>
      <c r="F73" s="55" t="s">
        <v>640</v>
      </c>
      <c r="G73" s="55" t="s">
        <v>1785</v>
      </c>
      <c r="H73" s="99" t="s">
        <v>986</v>
      </c>
      <c r="I73" s="100"/>
      <c r="J73" s="100"/>
      <c r="K73" s="100"/>
      <c r="L73" s="100"/>
      <c r="M73" s="100"/>
      <c r="N73" s="83">
        <v>44997</v>
      </c>
      <c r="O73" s="100"/>
      <c r="P73" s="84">
        <v>4285</v>
      </c>
      <c r="Q73" s="84">
        <v>17142</v>
      </c>
      <c r="R73" s="84">
        <v>29998</v>
      </c>
      <c r="S73" s="55"/>
      <c r="T73" s="55" t="s">
        <v>286</v>
      </c>
      <c r="U73" s="55" t="s">
        <v>9</v>
      </c>
      <c r="V73" s="55"/>
      <c r="W73" s="55" t="s">
        <v>631</v>
      </c>
      <c r="X73" s="55" t="s">
        <v>381</v>
      </c>
    </row>
    <row r="74" spans="1:24" s="80" customFormat="1" ht="37.5" x14ac:dyDescent="0.3">
      <c r="A74" s="35">
        <v>283</v>
      </c>
      <c r="B74" s="95" t="s">
        <v>65</v>
      </c>
      <c r="C74" s="157" t="s">
        <v>1878</v>
      </c>
      <c r="D74" s="154" t="str">
        <f>VLOOKUP(F74,'Chị VA gửi 01.12.2025'!$B$2:$U$184,14,0)</f>
        <v>0707966066</v>
      </c>
      <c r="E74" s="94" t="s">
        <v>641</v>
      </c>
      <c r="F74" s="94" t="s">
        <v>621</v>
      </c>
      <c r="G74" s="94" t="s">
        <v>1794</v>
      </c>
      <c r="H74" s="95" t="s">
        <v>1017</v>
      </c>
      <c r="I74" s="83">
        <v>104334</v>
      </c>
      <c r="J74" s="83">
        <v>59289</v>
      </c>
      <c r="K74" s="83">
        <v>142359</v>
      </c>
      <c r="L74" s="83">
        <v>197284</v>
      </c>
      <c r="M74" s="83">
        <v>195319</v>
      </c>
      <c r="N74" s="83">
        <v>348926</v>
      </c>
      <c r="O74" s="83">
        <v>180198</v>
      </c>
      <c r="P74" s="83">
        <v>220406</v>
      </c>
      <c r="Q74" s="83">
        <v>346356</v>
      </c>
      <c r="R74" s="83">
        <v>354067</v>
      </c>
      <c r="S74" s="83">
        <v>256392</v>
      </c>
      <c r="T74" s="94" t="s">
        <v>286</v>
      </c>
      <c r="U74" s="94" t="s">
        <v>9</v>
      </c>
      <c r="V74" s="94"/>
      <c r="W74" s="94" t="s">
        <v>620</v>
      </c>
      <c r="X74" s="94" t="s">
        <v>386</v>
      </c>
    </row>
    <row r="75" spans="1:24" s="80" customFormat="1" ht="37.5" x14ac:dyDescent="0.3">
      <c r="A75" s="35">
        <v>281</v>
      </c>
      <c r="B75" s="95" t="s">
        <v>65</v>
      </c>
      <c r="C75" s="157" t="s">
        <v>1890</v>
      </c>
      <c r="D75" s="154" t="str">
        <f>VLOOKUP(F75,'Chị VA gửi 01.12.2025'!$B$2:$U$184,14,0)</f>
        <v>0707966066</v>
      </c>
      <c r="E75" s="94" t="s">
        <v>641</v>
      </c>
      <c r="F75" s="94" t="s">
        <v>618</v>
      </c>
      <c r="G75" s="94" t="s">
        <v>1780</v>
      </c>
      <c r="H75" s="95" t="s">
        <v>1015</v>
      </c>
      <c r="I75" s="83">
        <v>4089</v>
      </c>
      <c r="J75" s="83">
        <v>65422</v>
      </c>
      <c r="K75" s="83">
        <v>283879</v>
      </c>
      <c r="L75" s="83">
        <v>666241</v>
      </c>
      <c r="M75" s="83">
        <v>1027193</v>
      </c>
      <c r="N75" s="83">
        <v>1073628</v>
      </c>
      <c r="O75" s="83">
        <v>1351037</v>
      </c>
      <c r="P75" s="83">
        <v>1231459</v>
      </c>
      <c r="Q75" s="83">
        <v>1227722</v>
      </c>
      <c r="R75" s="83">
        <v>565536</v>
      </c>
      <c r="S75" s="83">
        <v>1227722</v>
      </c>
      <c r="T75" s="94" t="s">
        <v>286</v>
      </c>
      <c r="U75" s="94" t="s">
        <v>9</v>
      </c>
      <c r="V75" s="94"/>
      <c r="W75" s="94" t="s">
        <v>619</v>
      </c>
      <c r="X75" s="94" t="s">
        <v>388</v>
      </c>
    </row>
    <row r="76" spans="1:24" s="80" customFormat="1" ht="37.5" x14ac:dyDescent="0.3">
      <c r="A76" s="35">
        <v>280</v>
      </c>
      <c r="B76" s="95" t="s">
        <v>65</v>
      </c>
      <c r="C76" s="157" t="s">
        <v>1771</v>
      </c>
      <c r="D76" s="154" t="str">
        <f>VLOOKUP(F76,'Chị VA gửi 01.12.2025'!$B$2:$U$184,14,0)</f>
        <v>0707966066</v>
      </c>
      <c r="E76" s="94" t="s">
        <v>641</v>
      </c>
      <c r="F76" s="94" t="s">
        <v>616</v>
      </c>
      <c r="G76" s="94" t="s">
        <v>1840</v>
      </c>
      <c r="H76" s="95" t="s">
        <v>1014</v>
      </c>
      <c r="I76" s="83">
        <v>98133</v>
      </c>
      <c r="J76" s="83">
        <v>155034</v>
      </c>
      <c r="K76" s="83">
        <v>551956</v>
      </c>
      <c r="L76" s="83">
        <v>542689</v>
      </c>
      <c r="M76" s="83">
        <v>420334</v>
      </c>
      <c r="N76" s="83">
        <v>513730</v>
      </c>
      <c r="O76" s="83">
        <v>575249</v>
      </c>
      <c r="P76" s="83">
        <v>1862978</v>
      </c>
      <c r="Q76" s="83">
        <v>1351037</v>
      </c>
      <c r="R76" s="83">
        <v>662671</v>
      </c>
      <c r="S76" s="83">
        <v>643244</v>
      </c>
      <c r="T76" s="94" t="s">
        <v>286</v>
      </c>
      <c r="U76" s="94" t="s">
        <v>9</v>
      </c>
      <c r="V76" s="94"/>
      <c r="W76" s="94" t="s">
        <v>617</v>
      </c>
      <c r="X76" s="94" t="s">
        <v>389</v>
      </c>
    </row>
    <row r="77" spans="1:24" s="80" customFormat="1" ht="37.5" x14ac:dyDescent="0.3">
      <c r="A77" s="35">
        <v>279</v>
      </c>
      <c r="B77" s="95" t="s">
        <v>65</v>
      </c>
      <c r="C77" s="157" t="s">
        <v>1898</v>
      </c>
      <c r="D77" s="154" t="str">
        <f>VLOOKUP(F77,'Chị VA gửi 01.12.2025'!$B$2:$U$184,14,0)</f>
        <v>0707966066</v>
      </c>
      <c r="E77" s="94" t="s">
        <v>641</v>
      </c>
      <c r="F77" s="94" t="s">
        <v>614</v>
      </c>
      <c r="G77" s="94" t="s">
        <v>1833</v>
      </c>
      <c r="H77" s="95" t="s">
        <v>1013</v>
      </c>
      <c r="I77" s="96"/>
      <c r="J77" s="83">
        <v>20444</v>
      </c>
      <c r="K77" s="83">
        <v>16356</v>
      </c>
      <c r="L77" s="83">
        <v>184609</v>
      </c>
      <c r="M77" s="83">
        <v>367179</v>
      </c>
      <c r="N77" s="83">
        <v>204552</v>
      </c>
      <c r="O77" s="83">
        <v>217836</v>
      </c>
      <c r="P77" s="83">
        <v>688573</v>
      </c>
      <c r="Q77" s="83">
        <v>356638</v>
      </c>
      <c r="R77" s="83">
        <v>228118</v>
      </c>
      <c r="S77" s="83">
        <v>361778</v>
      </c>
      <c r="T77" s="94" t="s">
        <v>286</v>
      </c>
      <c r="U77" s="94" t="s">
        <v>9</v>
      </c>
      <c r="V77" s="94"/>
      <c r="W77" s="94" t="s">
        <v>615</v>
      </c>
      <c r="X77" s="94" t="s">
        <v>390</v>
      </c>
    </row>
    <row r="78" spans="1:24" s="80" customFormat="1" ht="37.5" x14ac:dyDescent="0.3">
      <c r="A78" s="35">
        <v>278</v>
      </c>
      <c r="B78" s="95" t="s">
        <v>65</v>
      </c>
      <c r="C78" s="157" t="s">
        <v>1906</v>
      </c>
      <c r="D78" s="154" t="str">
        <f>VLOOKUP(F78,'Chị VA gửi 01.12.2025'!$B$2:$U$184,14,0)</f>
        <v>0707966066</v>
      </c>
      <c r="E78" s="94" t="s">
        <v>641</v>
      </c>
      <c r="F78" s="94" t="s">
        <v>609</v>
      </c>
      <c r="G78" s="94" t="s">
        <v>1826</v>
      </c>
      <c r="H78" s="95" t="s">
        <v>1012</v>
      </c>
      <c r="I78" s="96"/>
      <c r="J78" s="83">
        <v>22489</v>
      </c>
      <c r="K78" s="96"/>
      <c r="L78" s="83">
        <v>4089</v>
      </c>
      <c r="M78" s="83">
        <v>6330</v>
      </c>
      <c r="N78" s="83">
        <v>4285</v>
      </c>
      <c r="O78" s="83">
        <v>921672</v>
      </c>
      <c r="P78" s="83">
        <v>1803190</v>
      </c>
      <c r="Q78" s="83">
        <v>1978819</v>
      </c>
      <c r="R78" s="83">
        <v>1676138</v>
      </c>
      <c r="S78" s="83">
        <v>2464603</v>
      </c>
      <c r="T78" s="94" t="s">
        <v>286</v>
      </c>
      <c r="U78" s="94" t="s">
        <v>9</v>
      </c>
      <c r="V78" s="94"/>
      <c r="W78" s="94" t="s">
        <v>603</v>
      </c>
      <c r="X78" s="94" t="s">
        <v>391</v>
      </c>
    </row>
    <row r="79" spans="1:24" s="81" customFormat="1" ht="37.5" x14ac:dyDescent="0.3">
      <c r="A79" s="35">
        <v>277</v>
      </c>
      <c r="B79" s="99" t="s">
        <v>65</v>
      </c>
      <c r="C79" s="158" t="s">
        <v>1768</v>
      </c>
      <c r="D79" s="153" t="str">
        <f>VLOOKUP(F79,'Chị VA gửi 01.12.2025'!$B$2:$U$184,14,0)</f>
        <v>0707966066</v>
      </c>
      <c r="E79" s="50" t="s">
        <v>775</v>
      </c>
      <c r="F79" s="55" t="s">
        <v>608</v>
      </c>
      <c r="G79" s="55" t="s">
        <v>1819</v>
      </c>
      <c r="H79" s="99" t="s">
        <v>1011</v>
      </c>
      <c r="I79" s="100"/>
      <c r="J79" s="100"/>
      <c r="K79" s="100"/>
      <c r="L79" s="83">
        <v>65422</v>
      </c>
      <c r="M79" s="83">
        <v>10615</v>
      </c>
      <c r="N79" s="83">
        <v>2143</v>
      </c>
      <c r="O79" s="100"/>
      <c r="P79" s="55"/>
      <c r="Q79" s="55"/>
      <c r="R79" s="83">
        <v>25713</v>
      </c>
      <c r="S79" s="55"/>
      <c r="T79" s="55" t="s">
        <v>286</v>
      </c>
      <c r="U79" s="55" t="s">
        <v>9</v>
      </c>
      <c r="V79" s="55"/>
      <c r="W79" s="55" t="s">
        <v>602</v>
      </c>
      <c r="X79" s="55" t="s">
        <v>392</v>
      </c>
    </row>
    <row r="80" spans="1:24" s="81" customFormat="1" ht="37.5" x14ac:dyDescent="0.3">
      <c r="A80" s="35">
        <v>276</v>
      </c>
      <c r="B80" s="99" t="s">
        <v>65</v>
      </c>
      <c r="C80" s="158" t="s">
        <v>1750</v>
      </c>
      <c r="D80" s="153" t="str">
        <f>VLOOKUP(F80,'Chị VA gửi 01.12.2025'!$B$2:$U$184,14,0)</f>
        <v>0707966066</v>
      </c>
      <c r="E80" s="50" t="s">
        <v>775</v>
      </c>
      <c r="F80" s="55" t="s">
        <v>607</v>
      </c>
      <c r="G80" s="55" t="s">
        <v>1813</v>
      </c>
      <c r="H80" s="99" t="s">
        <v>1010</v>
      </c>
      <c r="I80" s="100"/>
      <c r="J80" s="100"/>
      <c r="K80" s="100"/>
      <c r="L80" s="100"/>
      <c r="M80" s="100"/>
      <c r="N80" s="83">
        <v>6428</v>
      </c>
      <c r="O80" s="100"/>
      <c r="P80" s="55"/>
      <c r="Q80" s="55"/>
      <c r="R80" s="83">
        <v>25713</v>
      </c>
      <c r="S80" s="55"/>
      <c r="T80" s="55" t="s">
        <v>286</v>
      </c>
      <c r="U80" s="55" t="s">
        <v>9</v>
      </c>
      <c r="V80" s="55"/>
      <c r="W80" s="55" t="s">
        <v>601</v>
      </c>
      <c r="X80" s="55" t="s">
        <v>393</v>
      </c>
    </row>
    <row r="81" spans="1:24" s="80" customFormat="1" ht="37.5" x14ac:dyDescent="0.3">
      <c r="A81" s="35">
        <v>275</v>
      </c>
      <c r="B81" s="95" t="s">
        <v>65</v>
      </c>
      <c r="C81" s="157" t="s">
        <v>1876</v>
      </c>
      <c r="D81" s="154" t="str">
        <f>VLOOKUP(F81,'Chị VA gửi 01.12.2025'!$B$2:$U$184,14,0)</f>
        <v>0707966066</v>
      </c>
      <c r="E81" s="94" t="s">
        <v>641</v>
      </c>
      <c r="F81" s="94" t="s">
        <v>606</v>
      </c>
      <c r="G81" s="94" t="s">
        <v>1806</v>
      </c>
      <c r="H81" s="95" t="s">
        <v>1009</v>
      </c>
      <c r="I81" s="96"/>
      <c r="J81" s="96"/>
      <c r="K81" s="96"/>
      <c r="L81" s="96"/>
      <c r="M81" s="83">
        <v>52880</v>
      </c>
      <c r="N81" s="83">
        <v>200124</v>
      </c>
      <c r="O81" s="83">
        <v>333504</v>
      </c>
      <c r="P81" s="83">
        <v>140346</v>
      </c>
      <c r="Q81" s="83">
        <v>251251</v>
      </c>
      <c r="R81" s="83">
        <v>173556</v>
      </c>
      <c r="S81" s="83">
        <v>238399</v>
      </c>
      <c r="T81" s="94" t="s">
        <v>286</v>
      </c>
      <c r="U81" s="94" t="s">
        <v>9</v>
      </c>
      <c r="V81" s="94"/>
      <c r="W81" s="94" t="s">
        <v>600</v>
      </c>
      <c r="X81" s="94" t="s">
        <v>394</v>
      </c>
    </row>
    <row r="82" spans="1:24" s="80" customFormat="1" ht="37.5" x14ac:dyDescent="0.3">
      <c r="A82" s="35">
        <v>274</v>
      </c>
      <c r="B82" s="95" t="s">
        <v>65</v>
      </c>
      <c r="C82" s="157" t="s">
        <v>1900</v>
      </c>
      <c r="D82" s="154" t="str">
        <f>VLOOKUP(F82,'Chị VA gửi 01.12.2025'!$B$2:$U$184,14,0)</f>
        <v>0707966066</v>
      </c>
      <c r="E82" s="94" t="s">
        <v>641</v>
      </c>
      <c r="F82" s="94" t="s">
        <v>605</v>
      </c>
      <c r="G82" s="94" t="s">
        <v>1800</v>
      </c>
      <c r="H82" s="95" t="s">
        <v>1008</v>
      </c>
      <c r="I82" s="96"/>
      <c r="J82" s="96"/>
      <c r="K82" s="96"/>
      <c r="L82" s="83">
        <v>4089</v>
      </c>
      <c r="M82" s="83">
        <v>80342</v>
      </c>
      <c r="N82" s="83">
        <v>193482</v>
      </c>
      <c r="O82" s="83">
        <v>140346</v>
      </c>
      <c r="P82" s="83">
        <v>164700</v>
      </c>
      <c r="Q82" s="83">
        <v>146988</v>
      </c>
      <c r="R82" s="83">
        <v>38569</v>
      </c>
      <c r="S82" s="83">
        <v>94280</v>
      </c>
      <c r="T82" s="94" t="s">
        <v>286</v>
      </c>
      <c r="U82" s="94" t="s">
        <v>9</v>
      </c>
      <c r="V82" s="94"/>
      <c r="W82" s="94" t="s">
        <v>599</v>
      </c>
      <c r="X82" s="94" t="s">
        <v>395</v>
      </c>
    </row>
    <row r="83" spans="1:24" s="80" customFormat="1" ht="37.5" x14ac:dyDescent="0.3">
      <c r="A83" s="35">
        <v>273</v>
      </c>
      <c r="B83" s="95" t="s">
        <v>65</v>
      </c>
      <c r="C83" s="157" t="s">
        <v>1883</v>
      </c>
      <c r="D83" s="154" t="str">
        <f>VLOOKUP(F83,'Chị VA gửi 01.12.2025'!$B$2:$U$184,14,0)</f>
        <v>0707966066</v>
      </c>
      <c r="E83" s="94" t="s">
        <v>641</v>
      </c>
      <c r="F83" s="94" t="s">
        <v>604</v>
      </c>
      <c r="G83" s="94" t="s">
        <v>1793</v>
      </c>
      <c r="H83" s="95" t="s">
        <v>1007</v>
      </c>
      <c r="I83" s="96"/>
      <c r="J83" s="96"/>
      <c r="K83" s="96"/>
      <c r="L83" s="83">
        <v>8178</v>
      </c>
      <c r="M83" s="96"/>
      <c r="N83" s="83">
        <v>29998</v>
      </c>
      <c r="O83" s="83">
        <v>111564</v>
      </c>
      <c r="P83" s="83">
        <v>19284</v>
      </c>
      <c r="Q83" s="83">
        <v>53568</v>
      </c>
      <c r="R83" s="83">
        <v>118206</v>
      </c>
      <c r="S83" s="83">
        <v>243540</v>
      </c>
      <c r="T83" s="94" t="s">
        <v>286</v>
      </c>
      <c r="U83" s="94" t="s">
        <v>9</v>
      </c>
      <c r="V83" s="94"/>
      <c r="W83" s="94" t="s">
        <v>598</v>
      </c>
      <c r="X83" s="94" t="s">
        <v>396</v>
      </c>
    </row>
  </sheetData>
  <sortState xmlns:xlrd2="http://schemas.microsoft.com/office/spreadsheetml/2017/richdata2" ref="A2:X83">
    <sortCondition ref="F2:F83"/>
  </sortState>
  <pageMargins left="0.7" right="0.7" top="0.75" bottom="0.75" header="0.3" footer="0.3"/>
  <pageSetup paperSize="8" scale="37" fitToHeight="0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948C8E-AB43-4317-9590-D34FD512F940}">
  <sheetPr>
    <pageSetUpPr fitToPage="1"/>
  </sheetPr>
  <dimension ref="A3:W85"/>
  <sheetViews>
    <sheetView workbookViewId="0">
      <selection activeCell="G15" sqref="G15"/>
    </sheetView>
  </sheetViews>
  <sheetFormatPr defaultColWidth="7" defaultRowHeight="18.75" x14ac:dyDescent="0.3"/>
  <cols>
    <col min="1" max="1" width="5.77734375" style="71" customWidth="1"/>
    <col min="2" max="2" width="15" style="71" bestFit="1" customWidth="1"/>
    <col min="3" max="3" width="11.6640625" style="71" customWidth="1"/>
    <col min="4" max="4" width="50.5546875" style="65" customWidth="1"/>
    <col min="5" max="5" width="12.33203125" style="69" bestFit="1" customWidth="1"/>
    <col min="6" max="6" width="13.77734375" style="69" customWidth="1"/>
    <col min="7" max="7" width="11.88671875" style="168" customWidth="1"/>
    <col min="8" max="14" width="12" style="166" hidden="1" customWidth="1"/>
    <col min="15" max="16" width="12.5546875" style="71" bestFit="1" customWidth="1"/>
    <col min="17" max="17" width="16.88671875" style="71" customWidth="1"/>
    <col min="18" max="18" width="13.77734375" style="71" customWidth="1"/>
    <col min="19" max="19" width="24.21875" style="69" customWidth="1"/>
    <col min="20" max="20" width="53.33203125" style="69" customWidth="1"/>
    <col min="21" max="21" width="16.109375" style="71" bestFit="1" customWidth="1"/>
    <col min="22" max="22" width="13.5546875" style="71" bestFit="1" customWidth="1"/>
    <col min="23" max="23" width="13.109375" style="65" bestFit="1" customWidth="1"/>
    <col min="24" max="248" width="7" style="69"/>
    <col min="249" max="249" width="4.109375" style="69" customWidth="1"/>
    <col min="250" max="250" width="3.6640625" style="69" customWidth="1"/>
    <col min="251" max="251" width="4.88671875" style="69" customWidth="1"/>
    <col min="252" max="252" width="10.33203125" style="69" customWidth="1"/>
    <col min="253" max="253" width="13.33203125" style="69" customWidth="1"/>
    <col min="254" max="254" width="5.5546875" style="69" customWidth="1"/>
    <col min="255" max="255" width="6.44140625" style="69" customWidth="1"/>
    <col min="256" max="256" width="11.6640625" style="69" customWidth="1"/>
    <col min="257" max="257" width="10.44140625" style="69" customWidth="1"/>
    <col min="258" max="258" width="13.44140625" style="69" customWidth="1"/>
    <col min="259" max="504" width="7" style="69"/>
    <col min="505" max="505" width="4.109375" style="69" customWidth="1"/>
    <col min="506" max="506" width="3.6640625" style="69" customWidth="1"/>
    <col min="507" max="507" width="4.88671875" style="69" customWidth="1"/>
    <col min="508" max="508" width="10.33203125" style="69" customWidth="1"/>
    <col min="509" max="509" width="13.33203125" style="69" customWidth="1"/>
    <col min="510" max="510" width="5.5546875" style="69" customWidth="1"/>
    <col min="511" max="511" width="6.44140625" style="69" customWidth="1"/>
    <col min="512" max="512" width="11.6640625" style="69" customWidth="1"/>
    <col min="513" max="513" width="10.44140625" style="69" customWidth="1"/>
    <col min="514" max="514" width="13.44140625" style="69" customWidth="1"/>
    <col min="515" max="760" width="7" style="69"/>
    <col min="761" max="761" width="4.109375" style="69" customWidth="1"/>
    <col min="762" max="762" width="3.6640625" style="69" customWidth="1"/>
    <col min="763" max="763" width="4.88671875" style="69" customWidth="1"/>
    <col min="764" max="764" width="10.33203125" style="69" customWidth="1"/>
    <col min="765" max="765" width="13.33203125" style="69" customWidth="1"/>
    <col min="766" max="766" width="5.5546875" style="69" customWidth="1"/>
    <col min="767" max="767" width="6.44140625" style="69" customWidth="1"/>
    <col min="768" max="768" width="11.6640625" style="69" customWidth="1"/>
    <col min="769" max="769" width="10.44140625" style="69" customWidth="1"/>
    <col min="770" max="770" width="13.44140625" style="69" customWidth="1"/>
    <col min="771" max="1016" width="7" style="69"/>
    <col min="1017" max="1017" width="4.109375" style="69" customWidth="1"/>
    <col min="1018" max="1018" width="3.6640625" style="69" customWidth="1"/>
    <col min="1019" max="1019" width="4.88671875" style="69" customWidth="1"/>
    <col min="1020" max="1020" width="10.33203125" style="69" customWidth="1"/>
    <col min="1021" max="1021" width="13.33203125" style="69" customWidth="1"/>
    <col min="1022" max="1022" width="5.5546875" style="69" customWidth="1"/>
    <col min="1023" max="1023" width="6.44140625" style="69" customWidth="1"/>
    <col min="1024" max="1024" width="11.6640625" style="69" customWidth="1"/>
    <col min="1025" max="1025" width="10.44140625" style="69" customWidth="1"/>
    <col min="1026" max="1026" width="13.44140625" style="69" customWidth="1"/>
    <col min="1027" max="1272" width="7" style="69"/>
    <col min="1273" max="1273" width="4.109375" style="69" customWidth="1"/>
    <col min="1274" max="1274" width="3.6640625" style="69" customWidth="1"/>
    <col min="1275" max="1275" width="4.88671875" style="69" customWidth="1"/>
    <col min="1276" max="1276" width="10.33203125" style="69" customWidth="1"/>
    <col min="1277" max="1277" width="13.33203125" style="69" customWidth="1"/>
    <col min="1278" max="1278" width="5.5546875" style="69" customWidth="1"/>
    <col min="1279" max="1279" width="6.44140625" style="69" customWidth="1"/>
    <col min="1280" max="1280" width="11.6640625" style="69" customWidth="1"/>
    <col min="1281" max="1281" width="10.44140625" style="69" customWidth="1"/>
    <col min="1282" max="1282" width="13.44140625" style="69" customWidth="1"/>
    <col min="1283" max="1528" width="7" style="69"/>
    <col min="1529" max="1529" width="4.109375" style="69" customWidth="1"/>
    <col min="1530" max="1530" width="3.6640625" style="69" customWidth="1"/>
    <col min="1531" max="1531" width="4.88671875" style="69" customWidth="1"/>
    <col min="1532" max="1532" width="10.33203125" style="69" customWidth="1"/>
    <col min="1533" max="1533" width="13.33203125" style="69" customWidth="1"/>
    <col min="1534" max="1534" width="5.5546875" style="69" customWidth="1"/>
    <col min="1535" max="1535" width="6.44140625" style="69" customWidth="1"/>
    <col min="1536" max="1536" width="11.6640625" style="69" customWidth="1"/>
    <col min="1537" max="1537" width="10.44140625" style="69" customWidth="1"/>
    <col min="1538" max="1538" width="13.44140625" style="69" customWidth="1"/>
    <col min="1539" max="1784" width="7" style="69"/>
    <col min="1785" max="1785" width="4.109375" style="69" customWidth="1"/>
    <col min="1786" max="1786" width="3.6640625" style="69" customWidth="1"/>
    <col min="1787" max="1787" width="4.88671875" style="69" customWidth="1"/>
    <col min="1788" max="1788" width="10.33203125" style="69" customWidth="1"/>
    <col min="1789" max="1789" width="13.33203125" style="69" customWidth="1"/>
    <col min="1790" max="1790" width="5.5546875" style="69" customWidth="1"/>
    <col min="1791" max="1791" width="6.44140625" style="69" customWidth="1"/>
    <col min="1792" max="1792" width="11.6640625" style="69" customWidth="1"/>
    <col min="1793" max="1793" width="10.44140625" style="69" customWidth="1"/>
    <col min="1794" max="1794" width="13.44140625" style="69" customWidth="1"/>
    <col min="1795" max="2040" width="7" style="69"/>
    <col min="2041" max="2041" width="4.109375" style="69" customWidth="1"/>
    <col min="2042" max="2042" width="3.6640625" style="69" customWidth="1"/>
    <col min="2043" max="2043" width="4.88671875" style="69" customWidth="1"/>
    <col min="2044" max="2044" width="10.33203125" style="69" customWidth="1"/>
    <col min="2045" max="2045" width="13.33203125" style="69" customWidth="1"/>
    <col min="2046" max="2046" width="5.5546875" style="69" customWidth="1"/>
    <col min="2047" max="2047" width="6.44140625" style="69" customWidth="1"/>
    <col min="2048" max="2048" width="11.6640625" style="69" customWidth="1"/>
    <col min="2049" max="2049" width="10.44140625" style="69" customWidth="1"/>
    <col min="2050" max="2050" width="13.44140625" style="69" customWidth="1"/>
    <col min="2051" max="2296" width="7" style="69"/>
    <col min="2297" max="2297" width="4.109375" style="69" customWidth="1"/>
    <col min="2298" max="2298" width="3.6640625" style="69" customWidth="1"/>
    <col min="2299" max="2299" width="4.88671875" style="69" customWidth="1"/>
    <col min="2300" max="2300" width="10.33203125" style="69" customWidth="1"/>
    <col min="2301" max="2301" width="13.33203125" style="69" customWidth="1"/>
    <col min="2302" max="2302" width="5.5546875" style="69" customWidth="1"/>
    <col min="2303" max="2303" width="6.44140625" style="69" customWidth="1"/>
    <col min="2304" max="2304" width="11.6640625" style="69" customWidth="1"/>
    <col min="2305" max="2305" width="10.44140625" style="69" customWidth="1"/>
    <col min="2306" max="2306" width="13.44140625" style="69" customWidth="1"/>
    <col min="2307" max="2552" width="7" style="69"/>
    <col min="2553" max="2553" width="4.109375" style="69" customWidth="1"/>
    <col min="2554" max="2554" width="3.6640625" style="69" customWidth="1"/>
    <col min="2555" max="2555" width="4.88671875" style="69" customWidth="1"/>
    <col min="2556" max="2556" width="10.33203125" style="69" customWidth="1"/>
    <col min="2557" max="2557" width="13.33203125" style="69" customWidth="1"/>
    <col min="2558" max="2558" width="5.5546875" style="69" customWidth="1"/>
    <col min="2559" max="2559" width="6.44140625" style="69" customWidth="1"/>
    <col min="2560" max="2560" width="11.6640625" style="69" customWidth="1"/>
    <col min="2561" max="2561" width="10.44140625" style="69" customWidth="1"/>
    <col min="2562" max="2562" width="13.44140625" style="69" customWidth="1"/>
    <col min="2563" max="2808" width="7" style="69"/>
    <col min="2809" max="2809" width="4.109375" style="69" customWidth="1"/>
    <col min="2810" max="2810" width="3.6640625" style="69" customWidth="1"/>
    <col min="2811" max="2811" width="4.88671875" style="69" customWidth="1"/>
    <col min="2812" max="2812" width="10.33203125" style="69" customWidth="1"/>
    <col min="2813" max="2813" width="13.33203125" style="69" customWidth="1"/>
    <col min="2814" max="2814" width="5.5546875" style="69" customWidth="1"/>
    <col min="2815" max="2815" width="6.44140625" style="69" customWidth="1"/>
    <col min="2816" max="2816" width="11.6640625" style="69" customWidth="1"/>
    <col min="2817" max="2817" width="10.44140625" style="69" customWidth="1"/>
    <col min="2818" max="2818" width="13.44140625" style="69" customWidth="1"/>
    <col min="2819" max="3064" width="7" style="69"/>
    <col min="3065" max="3065" width="4.109375" style="69" customWidth="1"/>
    <col min="3066" max="3066" width="3.6640625" style="69" customWidth="1"/>
    <col min="3067" max="3067" width="4.88671875" style="69" customWidth="1"/>
    <col min="3068" max="3068" width="10.33203125" style="69" customWidth="1"/>
    <col min="3069" max="3069" width="13.33203125" style="69" customWidth="1"/>
    <col min="3070" max="3070" width="5.5546875" style="69" customWidth="1"/>
    <col min="3071" max="3071" width="6.44140625" style="69" customWidth="1"/>
    <col min="3072" max="3072" width="11.6640625" style="69" customWidth="1"/>
    <col min="3073" max="3073" width="10.44140625" style="69" customWidth="1"/>
    <col min="3074" max="3074" width="13.44140625" style="69" customWidth="1"/>
    <col min="3075" max="3320" width="7" style="69"/>
    <col min="3321" max="3321" width="4.109375" style="69" customWidth="1"/>
    <col min="3322" max="3322" width="3.6640625" style="69" customWidth="1"/>
    <col min="3323" max="3323" width="4.88671875" style="69" customWidth="1"/>
    <col min="3324" max="3324" width="10.33203125" style="69" customWidth="1"/>
    <col min="3325" max="3325" width="13.33203125" style="69" customWidth="1"/>
    <col min="3326" max="3326" width="5.5546875" style="69" customWidth="1"/>
    <col min="3327" max="3327" width="6.44140625" style="69" customWidth="1"/>
    <col min="3328" max="3328" width="11.6640625" style="69" customWidth="1"/>
    <col min="3329" max="3329" width="10.44140625" style="69" customWidth="1"/>
    <col min="3330" max="3330" width="13.44140625" style="69" customWidth="1"/>
    <col min="3331" max="3576" width="7" style="69"/>
    <col min="3577" max="3577" width="4.109375" style="69" customWidth="1"/>
    <col min="3578" max="3578" width="3.6640625" style="69" customWidth="1"/>
    <col min="3579" max="3579" width="4.88671875" style="69" customWidth="1"/>
    <col min="3580" max="3580" width="10.33203125" style="69" customWidth="1"/>
    <col min="3581" max="3581" width="13.33203125" style="69" customWidth="1"/>
    <col min="3582" max="3582" width="5.5546875" style="69" customWidth="1"/>
    <col min="3583" max="3583" width="6.44140625" style="69" customWidth="1"/>
    <col min="3584" max="3584" width="11.6640625" style="69" customWidth="1"/>
    <col min="3585" max="3585" width="10.44140625" style="69" customWidth="1"/>
    <col min="3586" max="3586" width="13.44140625" style="69" customWidth="1"/>
    <col min="3587" max="3832" width="7" style="69"/>
    <col min="3833" max="3833" width="4.109375" style="69" customWidth="1"/>
    <col min="3834" max="3834" width="3.6640625" style="69" customWidth="1"/>
    <col min="3835" max="3835" width="4.88671875" style="69" customWidth="1"/>
    <col min="3836" max="3836" width="10.33203125" style="69" customWidth="1"/>
    <col min="3837" max="3837" width="13.33203125" style="69" customWidth="1"/>
    <col min="3838" max="3838" width="5.5546875" style="69" customWidth="1"/>
    <col min="3839" max="3839" width="6.44140625" style="69" customWidth="1"/>
    <col min="3840" max="3840" width="11.6640625" style="69" customWidth="1"/>
    <col min="3841" max="3841" width="10.44140625" style="69" customWidth="1"/>
    <col min="3842" max="3842" width="13.44140625" style="69" customWidth="1"/>
    <col min="3843" max="4088" width="7" style="69"/>
    <col min="4089" max="4089" width="4.109375" style="69" customWidth="1"/>
    <col min="4090" max="4090" width="3.6640625" style="69" customWidth="1"/>
    <col min="4091" max="4091" width="4.88671875" style="69" customWidth="1"/>
    <col min="4092" max="4092" width="10.33203125" style="69" customWidth="1"/>
    <col min="4093" max="4093" width="13.33203125" style="69" customWidth="1"/>
    <col min="4094" max="4094" width="5.5546875" style="69" customWidth="1"/>
    <col min="4095" max="4095" width="6.44140625" style="69" customWidth="1"/>
    <col min="4096" max="4096" width="11.6640625" style="69" customWidth="1"/>
    <col min="4097" max="4097" width="10.44140625" style="69" customWidth="1"/>
    <col min="4098" max="4098" width="13.44140625" style="69" customWidth="1"/>
    <col min="4099" max="4344" width="7" style="69"/>
    <col min="4345" max="4345" width="4.109375" style="69" customWidth="1"/>
    <col min="4346" max="4346" width="3.6640625" style="69" customWidth="1"/>
    <col min="4347" max="4347" width="4.88671875" style="69" customWidth="1"/>
    <col min="4348" max="4348" width="10.33203125" style="69" customWidth="1"/>
    <col min="4349" max="4349" width="13.33203125" style="69" customWidth="1"/>
    <col min="4350" max="4350" width="5.5546875" style="69" customWidth="1"/>
    <col min="4351" max="4351" width="6.44140625" style="69" customWidth="1"/>
    <col min="4352" max="4352" width="11.6640625" style="69" customWidth="1"/>
    <col min="4353" max="4353" width="10.44140625" style="69" customWidth="1"/>
    <col min="4354" max="4354" width="13.44140625" style="69" customWidth="1"/>
    <col min="4355" max="4600" width="7" style="69"/>
    <col min="4601" max="4601" width="4.109375" style="69" customWidth="1"/>
    <col min="4602" max="4602" width="3.6640625" style="69" customWidth="1"/>
    <col min="4603" max="4603" width="4.88671875" style="69" customWidth="1"/>
    <col min="4604" max="4604" width="10.33203125" style="69" customWidth="1"/>
    <col min="4605" max="4605" width="13.33203125" style="69" customWidth="1"/>
    <col min="4606" max="4606" width="5.5546875" style="69" customWidth="1"/>
    <col min="4607" max="4607" width="6.44140625" style="69" customWidth="1"/>
    <col min="4608" max="4608" width="11.6640625" style="69" customWidth="1"/>
    <col min="4609" max="4609" width="10.44140625" style="69" customWidth="1"/>
    <col min="4610" max="4610" width="13.44140625" style="69" customWidth="1"/>
    <col min="4611" max="4856" width="7" style="69"/>
    <col min="4857" max="4857" width="4.109375" style="69" customWidth="1"/>
    <col min="4858" max="4858" width="3.6640625" style="69" customWidth="1"/>
    <col min="4859" max="4859" width="4.88671875" style="69" customWidth="1"/>
    <col min="4860" max="4860" width="10.33203125" style="69" customWidth="1"/>
    <col min="4861" max="4861" width="13.33203125" style="69" customWidth="1"/>
    <col min="4862" max="4862" width="5.5546875" style="69" customWidth="1"/>
    <col min="4863" max="4863" width="6.44140625" style="69" customWidth="1"/>
    <col min="4864" max="4864" width="11.6640625" style="69" customWidth="1"/>
    <col min="4865" max="4865" width="10.44140625" style="69" customWidth="1"/>
    <col min="4866" max="4866" width="13.44140625" style="69" customWidth="1"/>
    <col min="4867" max="5112" width="7" style="69"/>
    <col min="5113" max="5113" width="4.109375" style="69" customWidth="1"/>
    <col min="5114" max="5114" width="3.6640625" style="69" customWidth="1"/>
    <col min="5115" max="5115" width="4.88671875" style="69" customWidth="1"/>
    <col min="5116" max="5116" width="10.33203125" style="69" customWidth="1"/>
    <col min="5117" max="5117" width="13.33203125" style="69" customWidth="1"/>
    <col min="5118" max="5118" width="5.5546875" style="69" customWidth="1"/>
    <col min="5119" max="5119" width="6.44140625" style="69" customWidth="1"/>
    <col min="5120" max="5120" width="11.6640625" style="69" customWidth="1"/>
    <col min="5121" max="5121" width="10.44140625" style="69" customWidth="1"/>
    <col min="5122" max="5122" width="13.44140625" style="69" customWidth="1"/>
    <col min="5123" max="5368" width="7" style="69"/>
    <col min="5369" max="5369" width="4.109375" style="69" customWidth="1"/>
    <col min="5370" max="5370" width="3.6640625" style="69" customWidth="1"/>
    <col min="5371" max="5371" width="4.88671875" style="69" customWidth="1"/>
    <col min="5372" max="5372" width="10.33203125" style="69" customWidth="1"/>
    <col min="5373" max="5373" width="13.33203125" style="69" customWidth="1"/>
    <col min="5374" max="5374" width="5.5546875" style="69" customWidth="1"/>
    <col min="5375" max="5375" width="6.44140625" style="69" customWidth="1"/>
    <col min="5376" max="5376" width="11.6640625" style="69" customWidth="1"/>
    <col min="5377" max="5377" width="10.44140625" style="69" customWidth="1"/>
    <col min="5378" max="5378" width="13.44140625" style="69" customWidth="1"/>
    <col min="5379" max="5624" width="7" style="69"/>
    <col min="5625" max="5625" width="4.109375" style="69" customWidth="1"/>
    <col min="5626" max="5626" width="3.6640625" style="69" customWidth="1"/>
    <col min="5627" max="5627" width="4.88671875" style="69" customWidth="1"/>
    <col min="5628" max="5628" width="10.33203125" style="69" customWidth="1"/>
    <col min="5629" max="5629" width="13.33203125" style="69" customWidth="1"/>
    <col min="5630" max="5630" width="5.5546875" style="69" customWidth="1"/>
    <col min="5631" max="5631" width="6.44140625" style="69" customWidth="1"/>
    <col min="5632" max="5632" width="11.6640625" style="69" customWidth="1"/>
    <col min="5633" max="5633" width="10.44140625" style="69" customWidth="1"/>
    <col min="5634" max="5634" width="13.44140625" style="69" customWidth="1"/>
    <col min="5635" max="5880" width="7" style="69"/>
    <col min="5881" max="5881" width="4.109375" style="69" customWidth="1"/>
    <col min="5882" max="5882" width="3.6640625" style="69" customWidth="1"/>
    <col min="5883" max="5883" width="4.88671875" style="69" customWidth="1"/>
    <col min="5884" max="5884" width="10.33203125" style="69" customWidth="1"/>
    <col min="5885" max="5885" width="13.33203125" style="69" customWidth="1"/>
    <col min="5886" max="5886" width="5.5546875" style="69" customWidth="1"/>
    <col min="5887" max="5887" width="6.44140625" style="69" customWidth="1"/>
    <col min="5888" max="5888" width="11.6640625" style="69" customWidth="1"/>
    <col min="5889" max="5889" width="10.44140625" style="69" customWidth="1"/>
    <col min="5890" max="5890" width="13.44140625" style="69" customWidth="1"/>
    <col min="5891" max="6136" width="7" style="69"/>
    <col min="6137" max="6137" width="4.109375" style="69" customWidth="1"/>
    <col min="6138" max="6138" width="3.6640625" style="69" customWidth="1"/>
    <col min="6139" max="6139" width="4.88671875" style="69" customWidth="1"/>
    <col min="6140" max="6140" width="10.33203125" style="69" customWidth="1"/>
    <col min="6141" max="6141" width="13.33203125" style="69" customWidth="1"/>
    <col min="6142" max="6142" width="5.5546875" style="69" customWidth="1"/>
    <col min="6143" max="6143" width="6.44140625" style="69" customWidth="1"/>
    <col min="6144" max="6144" width="11.6640625" style="69" customWidth="1"/>
    <col min="6145" max="6145" width="10.44140625" style="69" customWidth="1"/>
    <col min="6146" max="6146" width="13.44140625" style="69" customWidth="1"/>
    <col min="6147" max="6392" width="7" style="69"/>
    <col min="6393" max="6393" width="4.109375" style="69" customWidth="1"/>
    <col min="6394" max="6394" width="3.6640625" style="69" customWidth="1"/>
    <col min="6395" max="6395" width="4.88671875" style="69" customWidth="1"/>
    <col min="6396" max="6396" width="10.33203125" style="69" customWidth="1"/>
    <col min="6397" max="6397" width="13.33203125" style="69" customWidth="1"/>
    <col min="6398" max="6398" width="5.5546875" style="69" customWidth="1"/>
    <col min="6399" max="6399" width="6.44140625" style="69" customWidth="1"/>
    <col min="6400" max="6400" width="11.6640625" style="69" customWidth="1"/>
    <col min="6401" max="6401" width="10.44140625" style="69" customWidth="1"/>
    <col min="6402" max="6402" width="13.44140625" style="69" customWidth="1"/>
    <col min="6403" max="6648" width="7" style="69"/>
    <col min="6649" max="6649" width="4.109375" style="69" customWidth="1"/>
    <col min="6650" max="6650" width="3.6640625" style="69" customWidth="1"/>
    <col min="6651" max="6651" width="4.88671875" style="69" customWidth="1"/>
    <col min="6652" max="6652" width="10.33203125" style="69" customWidth="1"/>
    <col min="6653" max="6653" width="13.33203125" style="69" customWidth="1"/>
    <col min="6654" max="6654" width="5.5546875" style="69" customWidth="1"/>
    <col min="6655" max="6655" width="6.44140625" style="69" customWidth="1"/>
    <col min="6656" max="6656" width="11.6640625" style="69" customWidth="1"/>
    <col min="6657" max="6657" width="10.44140625" style="69" customWidth="1"/>
    <col min="6658" max="6658" width="13.44140625" style="69" customWidth="1"/>
    <col min="6659" max="6904" width="7" style="69"/>
    <col min="6905" max="6905" width="4.109375" style="69" customWidth="1"/>
    <col min="6906" max="6906" width="3.6640625" style="69" customWidth="1"/>
    <col min="6907" max="6907" width="4.88671875" style="69" customWidth="1"/>
    <col min="6908" max="6908" width="10.33203125" style="69" customWidth="1"/>
    <col min="6909" max="6909" width="13.33203125" style="69" customWidth="1"/>
    <col min="6910" max="6910" width="5.5546875" style="69" customWidth="1"/>
    <col min="6911" max="6911" width="6.44140625" style="69" customWidth="1"/>
    <col min="6912" max="6912" width="11.6640625" style="69" customWidth="1"/>
    <col min="6913" max="6913" width="10.44140625" style="69" customWidth="1"/>
    <col min="6914" max="6914" width="13.44140625" style="69" customWidth="1"/>
    <col min="6915" max="7160" width="7" style="69"/>
    <col min="7161" max="7161" width="4.109375" style="69" customWidth="1"/>
    <col min="7162" max="7162" width="3.6640625" style="69" customWidth="1"/>
    <col min="7163" max="7163" width="4.88671875" style="69" customWidth="1"/>
    <col min="7164" max="7164" width="10.33203125" style="69" customWidth="1"/>
    <col min="7165" max="7165" width="13.33203125" style="69" customWidth="1"/>
    <col min="7166" max="7166" width="5.5546875" style="69" customWidth="1"/>
    <col min="7167" max="7167" width="6.44140625" style="69" customWidth="1"/>
    <col min="7168" max="7168" width="11.6640625" style="69" customWidth="1"/>
    <col min="7169" max="7169" width="10.44140625" style="69" customWidth="1"/>
    <col min="7170" max="7170" width="13.44140625" style="69" customWidth="1"/>
    <col min="7171" max="7416" width="7" style="69"/>
    <col min="7417" max="7417" width="4.109375" style="69" customWidth="1"/>
    <col min="7418" max="7418" width="3.6640625" style="69" customWidth="1"/>
    <col min="7419" max="7419" width="4.88671875" style="69" customWidth="1"/>
    <col min="7420" max="7420" width="10.33203125" style="69" customWidth="1"/>
    <col min="7421" max="7421" width="13.33203125" style="69" customWidth="1"/>
    <col min="7422" max="7422" width="5.5546875" style="69" customWidth="1"/>
    <col min="7423" max="7423" width="6.44140625" style="69" customWidth="1"/>
    <col min="7424" max="7424" width="11.6640625" style="69" customWidth="1"/>
    <col min="7425" max="7425" width="10.44140625" style="69" customWidth="1"/>
    <col min="7426" max="7426" width="13.44140625" style="69" customWidth="1"/>
    <col min="7427" max="7672" width="7" style="69"/>
    <col min="7673" max="7673" width="4.109375" style="69" customWidth="1"/>
    <col min="7674" max="7674" width="3.6640625" style="69" customWidth="1"/>
    <col min="7675" max="7675" width="4.88671875" style="69" customWidth="1"/>
    <col min="7676" max="7676" width="10.33203125" style="69" customWidth="1"/>
    <col min="7677" max="7677" width="13.33203125" style="69" customWidth="1"/>
    <col min="7678" max="7678" width="5.5546875" style="69" customWidth="1"/>
    <col min="7679" max="7679" width="6.44140625" style="69" customWidth="1"/>
    <col min="7680" max="7680" width="11.6640625" style="69" customWidth="1"/>
    <col min="7681" max="7681" width="10.44140625" style="69" customWidth="1"/>
    <col min="7682" max="7682" width="13.44140625" style="69" customWidth="1"/>
    <col min="7683" max="7928" width="7" style="69"/>
    <col min="7929" max="7929" width="4.109375" style="69" customWidth="1"/>
    <col min="7930" max="7930" width="3.6640625" style="69" customWidth="1"/>
    <col min="7931" max="7931" width="4.88671875" style="69" customWidth="1"/>
    <col min="7932" max="7932" width="10.33203125" style="69" customWidth="1"/>
    <col min="7933" max="7933" width="13.33203125" style="69" customWidth="1"/>
    <col min="7934" max="7934" width="5.5546875" style="69" customWidth="1"/>
    <col min="7935" max="7935" width="6.44140625" style="69" customWidth="1"/>
    <col min="7936" max="7936" width="11.6640625" style="69" customWidth="1"/>
    <col min="7937" max="7937" width="10.44140625" style="69" customWidth="1"/>
    <col min="7938" max="7938" width="13.44140625" style="69" customWidth="1"/>
    <col min="7939" max="8184" width="7" style="69"/>
    <col min="8185" max="8185" width="4.109375" style="69" customWidth="1"/>
    <col min="8186" max="8186" width="3.6640625" style="69" customWidth="1"/>
    <col min="8187" max="8187" width="4.88671875" style="69" customWidth="1"/>
    <col min="8188" max="8188" width="10.33203125" style="69" customWidth="1"/>
    <col min="8189" max="8189" width="13.33203125" style="69" customWidth="1"/>
    <col min="8190" max="8190" width="5.5546875" style="69" customWidth="1"/>
    <col min="8191" max="8191" width="6.44140625" style="69" customWidth="1"/>
    <col min="8192" max="8192" width="11.6640625" style="69" customWidth="1"/>
    <col min="8193" max="8193" width="10.44140625" style="69" customWidth="1"/>
    <col min="8194" max="8194" width="13.44140625" style="69" customWidth="1"/>
    <col min="8195" max="8440" width="7" style="69"/>
    <col min="8441" max="8441" width="4.109375" style="69" customWidth="1"/>
    <col min="8442" max="8442" width="3.6640625" style="69" customWidth="1"/>
    <col min="8443" max="8443" width="4.88671875" style="69" customWidth="1"/>
    <col min="8444" max="8444" width="10.33203125" style="69" customWidth="1"/>
    <col min="8445" max="8445" width="13.33203125" style="69" customWidth="1"/>
    <col min="8446" max="8446" width="5.5546875" style="69" customWidth="1"/>
    <col min="8447" max="8447" width="6.44140625" style="69" customWidth="1"/>
    <col min="8448" max="8448" width="11.6640625" style="69" customWidth="1"/>
    <col min="8449" max="8449" width="10.44140625" style="69" customWidth="1"/>
    <col min="8450" max="8450" width="13.44140625" style="69" customWidth="1"/>
    <col min="8451" max="8696" width="7" style="69"/>
    <col min="8697" max="8697" width="4.109375" style="69" customWidth="1"/>
    <col min="8698" max="8698" width="3.6640625" style="69" customWidth="1"/>
    <col min="8699" max="8699" width="4.88671875" style="69" customWidth="1"/>
    <col min="8700" max="8700" width="10.33203125" style="69" customWidth="1"/>
    <col min="8701" max="8701" width="13.33203125" style="69" customWidth="1"/>
    <col min="8702" max="8702" width="5.5546875" style="69" customWidth="1"/>
    <col min="8703" max="8703" width="6.44140625" style="69" customWidth="1"/>
    <col min="8704" max="8704" width="11.6640625" style="69" customWidth="1"/>
    <col min="8705" max="8705" width="10.44140625" style="69" customWidth="1"/>
    <col min="8706" max="8706" width="13.44140625" style="69" customWidth="1"/>
    <col min="8707" max="8952" width="7" style="69"/>
    <col min="8953" max="8953" width="4.109375" style="69" customWidth="1"/>
    <col min="8954" max="8954" width="3.6640625" style="69" customWidth="1"/>
    <col min="8955" max="8955" width="4.88671875" style="69" customWidth="1"/>
    <col min="8956" max="8956" width="10.33203125" style="69" customWidth="1"/>
    <col min="8957" max="8957" width="13.33203125" style="69" customWidth="1"/>
    <col min="8958" max="8958" width="5.5546875" style="69" customWidth="1"/>
    <col min="8959" max="8959" width="6.44140625" style="69" customWidth="1"/>
    <col min="8960" max="8960" width="11.6640625" style="69" customWidth="1"/>
    <col min="8961" max="8961" width="10.44140625" style="69" customWidth="1"/>
    <col min="8962" max="8962" width="13.44140625" style="69" customWidth="1"/>
    <col min="8963" max="9208" width="7" style="69"/>
    <col min="9209" max="9209" width="4.109375" style="69" customWidth="1"/>
    <col min="9210" max="9210" width="3.6640625" style="69" customWidth="1"/>
    <col min="9211" max="9211" width="4.88671875" style="69" customWidth="1"/>
    <col min="9212" max="9212" width="10.33203125" style="69" customWidth="1"/>
    <col min="9213" max="9213" width="13.33203125" style="69" customWidth="1"/>
    <col min="9214" max="9214" width="5.5546875" style="69" customWidth="1"/>
    <col min="9215" max="9215" width="6.44140625" style="69" customWidth="1"/>
    <col min="9216" max="9216" width="11.6640625" style="69" customWidth="1"/>
    <col min="9217" max="9217" width="10.44140625" style="69" customWidth="1"/>
    <col min="9218" max="9218" width="13.44140625" style="69" customWidth="1"/>
    <col min="9219" max="9464" width="7" style="69"/>
    <col min="9465" max="9465" width="4.109375" style="69" customWidth="1"/>
    <col min="9466" max="9466" width="3.6640625" style="69" customWidth="1"/>
    <col min="9467" max="9467" width="4.88671875" style="69" customWidth="1"/>
    <col min="9468" max="9468" width="10.33203125" style="69" customWidth="1"/>
    <col min="9469" max="9469" width="13.33203125" style="69" customWidth="1"/>
    <col min="9470" max="9470" width="5.5546875" style="69" customWidth="1"/>
    <col min="9471" max="9471" width="6.44140625" style="69" customWidth="1"/>
    <col min="9472" max="9472" width="11.6640625" style="69" customWidth="1"/>
    <col min="9473" max="9473" width="10.44140625" style="69" customWidth="1"/>
    <col min="9474" max="9474" width="13.44140625" style="69" customWidth="1"/>
    <col min="9475" max="9720" width="7" style="69"/>
    <col min="9721" max="9721" width="4.109375" style="69" customWidth="1"/>
    <col min="9722" max="9722" width="3.6640625" style="69" customWidth="1"/>
    <col min="9723" max="9723" width="4.88671875" style="69" customWidth="1"/>
    <col min="9724" max="9724" width="10.33203125" style="69" customWidth="1"/>
    <col min="9725" max="9725" width="13.33203125" style="69" customWidth="1"/>
    <col min="9726" max="9726" width="5.5546875" style="69" customWidth="1"/>
    <col min="9727" max="9727" width="6.44140625" style="69" customWidth="1"/>
    <col min="9728" max="9728" width="11.6640625" style="69" customWidth="1"/>
    <col min="9729" max="9729" width="10.44140625" style="69" customWidth="1"/>
    <col min="9730" max="9730" width="13.44140625" style="69" customWidth="1"/>
    <col min="9731" max="9976" width="7" style="69"/>
    <col min="9977" max="9977" width="4.109375" style="69" customWidth="1"/>
    <col min="9978" max="9978" width="3.6640625" style="69" customWidth="1"/>
    <col min="9979" max="9979" width="4.88671875" style="69" customWidth="1"/>
    <col min="9980" max="9980" width="10.33203125" style="69" customWidth="1"/>
    <col min="9981" max="9981" width="13.33203125" style="69" customWidth="1"/>
    <col min="9982" max="9982" width="5.5546875" style="69" customWidth="1"/>
    <col min="9983" max="9983" width="6.44140625" style="69" customWidth="1"/>
    <col min="9984" max="9984" width="11.6640625" style="69" customWidth="1"/>
    <col min="9985" max="9985" width="10.44140625" style="69" customWidth="1"/>
    <col min="9986" max="9986" width="13.44140625" style="69" customWidth="1"/>
    <col min="9987" max="10232" width="7" style="69"/>
    <col min="10233" max="10233" width="4.109375" style="69" customWidth="1"/>
    <col min="10234" max="10234" width="3.6640625" style="69" customWidth="1"/>
    <col min="10235" max="10235" width="4.88671875" style="69" customWidth="1"/>
    <col min="10236" max="10236" width="10.33203125" style="69" customWidth="1"/>
    <col min="10237" max="10237" width="13.33203125" style="69" customWidth="1"/>
    <col min="10238" max="10238" width="5.5546875" style="69" customWidth="1"/>
    <col min="10239" max="10239" width="6.44140625" style="69" customWidth="1"/>
    <col min="10240" max="10240" width="11.6640625" style="69" customWidth="1"/>
    <col min="10241" max="10241" width="10.44140625" style="69" customWidth="1"/>
    <col min="10242" max="10242" width="13.44140625" style="69" customWidth="1"/>
    <col min="10243" max="10488" width="7" style="69"/>
    <col min="10489" max="10489" width="4.109375" style="69" customWidth="1"/>
    <col min="10490" max="10490" width="3.6640625" style="69" customWidth="1"/>
    <col min="10491" max="10491" width="4.88671875" style="69" customWidth="1"/>
    <col min="10492" max="10492" width="10.33203125" style="69" customWidth="1"/>
    <col min="10493" max="10493" width="13.33203125" style="69" customWidth="1"/>
    <col min="10494" max="10494" width="5.5546875" style="69" customWidth="1"/>
    <col min="10495" max="10495" width="6.44140625" style="69" customWidth="1"/>
    <col min="10496" max="10496" width="11.6640625" style="69" customWidth="1"/>
    <col min="10497" max="10497" width="10.44140625" style="69" customWidth="1"/>
    <col min="10498" max="10498" width="13.44140625" style="69" customWidth="1"/>
    <col min="10499" max="10744" width="7" style="69"/>
    <col min="10745" max="10745" width="4.109375" style="69" customWidth="1"/>
    <col min="10746" max="10746" width="3.6640625" style="69" customWidth="1"/>
    <col min="10747" max="10747" width="4.88671875" style="69" customWidth="1"/>
    <col min="10748" max="10748" width="10.33203125" style="69" customWidth="1"/>
    <col min="10749" max="10749" width="13.33203125" style="69" customWidth="1"/>
    <col min="10750" max="10750" width="5.5546875" style="69" customWidth="1"/>
    <col min="10751" max="10751" width="6.44140625" style="69" customWidth="1"/>
    <col min="10752" max="10752" width="11.6640625" style="69" customWidth="1"/>
    <col min="10753" max="10753" width="10.44140625" style="69" customWidth="1"/>
    <col min="10754" max="10754" width="13.44140625" style="69" customWidth="1"/>
    <col min="10755" max="11000" width="7" style="69"/>
    <col min="11001" max="11001" width="4.109375" style="69" customWidth="1"/>
    <col min="11002" max="11002" width="3.6640625" style="69" customWidth="1"/>
    <col min="11003" max="11003" width="4.88671875" style="69" customWidth="1"/>
    <col min="11004" max="11004" width="10.33203125" style="69" customWidth="1"/>
    <col min="11005" max="11005" width="13.33203125" style="69" customWidth="1"/>
    <col min="11006" max="11006" width="5.5546875" style="69" customWidth="1"/>
    <col min="11007" max="11007" width="6.44140625" style="69" customWidth="1"/>
    <col min="11008" max="11008" width="11.6640625" style="69" customWidth="1"/>
    <col min="11009" max="11009" width="10.44140625" style="69" customWidth="1"/>
    <col min="11010" max="11010" width="13.44140625" style="69" customWidth="1"/>
    <col min="11011" max="11256" width="7" style="69"/>
    <col min="11257" max="11257" width="4.109375" style="69" customWidth="1"/>
    <col min="11258" max="11258" width="3.6640625" style="69" customWidth="1"/>
    <col min="11259" max="11259" width="4.88671875" style="69" customWidth="1"/>
    <col min="11260" max="11260" width="10.33203125" style="69" customWidth="1"/>
    <col min="11261" max="11261" width="13.33203125" style="69" customWidth="1"/>
    <col min="11262" max="11262" width="5.5546875" style="69" customWidth="1"/>
    <col min="11263" max="11263" width="6.44140625" style="69" customWidth="1"/>
    <col min="11264" max="11264" width="11.6640625" style="69" customWidth="1"/>
    <col min="11265" max="11265" width="10.44140625" style="69" customWidth="1"/>
    <col min="11266" max="11266" width="13.44140625" style="69" customWidth="1"/>
    <col min="11267" max="11512" width="7" style="69"/>
    <col min="11513" max="11513" width="4.109375" style="69" customWidth="1"/>
    <col min="11514" max="11514" width="3.6640625" style="69" customWidth="1"/>
    <col min="11515" max="11515" width="4.88671875" style="69" customWidth="1"/>
    <col min="11516" max="11516" width="10.33203125" style="69" customWidth="1"/>
    <col min="11517" max="11517" width="13.33203125" style="69" customWidth="1"/>
    <col min="11518" max="11518" width="5.5546875" style="69" customWidth="1"/>
    <col min="11519" max="11519" width="6.44140625" style="69" customWidth="1"/>
    <col min="11520" max="11520" width="11.6640625" style="69" customWidth="1"/>
    <col min="11521" max="11521" width="10.44140625" style="69" customWidth="1"/>
    <col min="11522" max="11522" width="13.44140625" style="69" customWidth="1"/>
    <col min="11523" max="11768" width="7" style="69"/>
    <col min="11769" max="11769" width="4.109375" style="69" customWidth="1"/>
    <col min="11770" max="11770" width="3.6640625" style="69" customWidth="1"/>
    <col min="11771" max="11771" width="4.88671875" style="69" customWidth="1"/>
    <col min="11772" max="11772" width="10.33203125" style="69" customWidth="1"/>
    <col min="11773" max="11773" width="13.33203125" style="69" customWidth="1"/>
    <col min="11774" max="11774" width="5.5546875" style="69" customWidth="1"/>
    <col min="11775" max="11775" width="6.44140625" style="69" customWidth="1"/>
    <col min="11776" max="11776" width="11.6640625" style="69" customWidth="1"/>
    <col min="11777" max="11777" width="10.44140625" style="69" customWidth="1"/>
    <col min="11778" max="11778" width="13.44140625" style="69" customWidth="1"/>
    <col min="11779" max="12024" width="7" style="69"/>
    <col min="12025" max="12025" width="4.109375" style="69" customWidth="1"/>
    <col min="12026" max="12026" width="3.6640625" style="69" customWidth="1"/>
    <col min="12027" max="12027" width="4.88671875" style="69" customWidth="1"/>
    <col min="12028" max="12028" width="10.33203125" style="69" customWidth="1"/>
    <col min="12029" max="12029" width="13.33203125" style="69" customWidth="1"/>
    <col min="12030" max="12030" width="5.5546875" style="69" customWidth="1"/>
    <col min="12031" max="12031" width="6.44140625" style="69" customWidth="1"/>
    <col min="12032" max="12032" width="11.6640625" style="69" customWidth="1"/>
    <col min="12033" max="12033" width="10.44140625" style="69" customWidth="1"/>
    <col min="12034" max="12034" width="13.44140625" style="69" customWidth="1"/>
    <col min="12035" max="12280" width="7" style="69"/>
    <col min="12281" max="12281" width="4.109375" style="69" customWidth="1"/>
    <col min="12282" max="12282" width="3.6640625" style="69" customWidth="1"/>
    <col min="12283" max="12283" width="4.88671875" style="69" customWidth="1"/>
    <col min="12284" max="12284" width="10.33203125" style="69" customWidth="1"/>
    <col min="12285" max="12285" width="13.33203125" style="69" customWidth="1"/>
    <col min="12286" max="12286" width="5.5546875" style="69" customWidth="1"/>
    <col min="12287" max="12287" width="6.44140625" style="69" customWidth="1"/>
    <col min="12288" max="12288" width="11.6640625" style="69" customWidth="1"/>
    <col min="12289" max="12289" width="10.44140625" style="69" customWidth="1"/>
    <col min="12290" max="12290" width="13.44140625" style="69" customWidth="1"/>
    <col min="12291" max="12536" width="7" style="69"/>
    <col min="12537" max="12537" width="4.109375" style="69" customWidth="1"/>
    <col min="12538" max="12538" width="3.6640625" style="69" customWidth="1"/>
    <col min="12539" max="12539" width="4.88671875" style="69" customWidth="1"/>
    <col min="12540" max="12540" width="10.33203125" style="69" customWidth="1"/>
    <col min="12541" max="12541" width="13.33203125" style="69" customWidth="1"/>
    <col min="12542" max="12542" width="5.5546875" style="69" customWidth="1"/>
    <col min="12543" max="12543" width="6.44140625" style="69" customWidth="1"/>
    <col min="12544" max="12544" width="11.6640625" style="69" customWidth="1"/>
    <col min="12545" max="12545" width="10.44140625" style="69" customWidth="1"/>
    <col min="12546" max="12546" width="13.44140625" style="69" customWidth="1"/>
    <col min="12547" max="12792" width="7" style="69"/>
    <col min="12793" max="12793" width="4.109375" style="69" customWidth="1"/>
    <col min="12794" max="12794" width="3.6640625" style="69" customWidth="1"/>
    <col min="12795" max="12795" width="4.88671875" style="69" customWidth="1"/>
    <col min="12796" max="12796" width="10.33203125" style="69" customWidth="1"/>
    <col min="12797" max="12797" width="13.33203125" style="69" customWidth="1"/>
    <col min="12798" max="12798" width="5.5546875" style="69" customWidth="1"/>
    <col min="12799" max="12799" width="6.44140625" style="69" customWidth="1"/>
    <col min="12800" max="12800" width="11.6640625" style="69" customWidth="1"/>
    <col min="12801" max="12801" width="10.44140625" style="69" customWidth="1"/>
    <col min="12802" max="12802" width="13.44140625" style="69" customWidth="1"/>
    <col min="12803" max="13048" width="7" style="69"/>
    <col min="13049" max="13049" width="4.109375" style="69" customWidth="1"/>
    <col min="13050" max="13050" width="3.6640625" style="69" customWidth="1"/>
    <col min="13051" max="13051" width="4.88671875" style="69" customWidth="1"/>
    <col min="13052" max="13052" width="10.33203125" style="69" customWidth="1"/>
    <col min="13053" max="13053" width="13.33203125" style="69" customWidth="1"/>
    <col min="13054" max="13054" width="5.5546875" style="69" customWidth="1"/>
    <col min="13055" max="13055" width="6.44140625" style="69" customWidth="1"/>
    <col min="13056" max="13056" width="11.6640625" style="69" customWidth="1"/>
    <col min="13057" max="13057" width="10.44140625" style="69" customWidth="1"/>
    <col min="13058" max="13058" width="13.44140625" style="69" customWidth="1"/>
    <col min="13059" max="13304" width="7" style="69"/>
    <col min="13305" max="13305" width="4.109375" style="69" customWidth="1"/>
    <col min="13306" max="13306" width="3.6640625" style="69" customWidth="1"/>
    <col min="13307" max="13307" width="4.88671875" style="69" customWidth="1"/>
    <col min="13308" max="13308" width="10.33203125" style="69" customWidth="1"/>
    <col min="13309" max="13309" width="13.33203125" style="69" customWidth="1"/>
    <col min="13310" max="13310" width="5.5546875" style="69" customWidth="1"/>
    <col min="13311" max="13311" width="6.44140625" style="69" customWidth="1"/>
    <col min="13312" max="13312" width="11.6640625" style="69" customWidth="1"/>
    <col min="13313" max="13313" width="10.44140625" style="69" customWidth="1"/>
    <col min="13314" max="13314" width="13.44140625" style="69" customWidth="1"/>
    <col min="13315" max="13560" width="7" style="69"/>
    <col min="13561" max="13561" width="4.109375" style="69" customWidth="1"/>
    <col min="13562" max="13562" width="3.6640625" style="69" customWidth="1"/>
    <col min="13563" max="13563" width="4.88671875" style="69" customWidth="1"/>
    <col min="13564" max="13564" width="10.33203125" style="69" customWidth="1"/>
    <col min="13565" max="13565" width="13.33203125" style="69" customWidth="1"/>
    <col min="13566" max="13566" width="5.5546875" style="69" customWidth="1"/>
    <col min="13567" max="13567" width="6.44140625" style="69" customWidth="1"/>
    <col min="13568" max="13568" width="11.6640625" style="69" customWidth="1"/>
    <col min="13569" max="13569" width="10.44140625" style="69" customWidth="1"/>
    <col min="13570" max="13570" width="13.44140625" style="69" customWidth="1"/>
    <col min="13571" max="13816" width="7" style="69"/>
    <col min="13817" max="13817" width="4.109375" style="69" customWidth="1"/>
    <col min="13818" max="13818" width="3.6640625" style="69" customWidth="1"/>
    <col min="13819" max="13819" width="4.88671875" style="69" customWidth="1"/>
    <col min="13820" max="13820" width="10.33203125" style="69" customWidth="1"/>
    <col min="13821" max="13821" width="13.33203125" style="69" customWidth="1"/>
    <col min="13822" max="13822" width="5.5546875" style="69" customWidth="1"/>
    <col min="13823" max="13823" width="6.44140625" style="69" customWidth="1"/>
    <col min="13824" max="13824" width="11.6640625" style="69" customWidth="1"/>
    <col min="13825" max="13825" width="10.44140625" style="69" customWidth="1"/>
    <col min="13826" max="13826" width="13.44140625" style="69" customWidth="1"/>
    <col min="13827" max="14072" width="7" style="69"/>
    <col min="14073" max="14073" width="4.109375" style="69" customWidth="1"/>
    <col min="14074" max="14074" width="3.6640625" style="69" customWidth="1"/>
    <col min="14075" max="14075" width="4.88671875" style="69" customWidth="1"/>
    <col min="14076" max="14076" width="10.33203125" style="69" customWidth="1"/>
    <col min="14077" max="14077" width="13.33203125" style="69" customWidth="1"/>
    <col min="14078" max="14078" width="5.5546875" style="69" customWidth="1"/>
    <col min="14079" max="14079" width="6.44140625" style="69" customWidth="1"/>
    <col min="14080" max="14080" width="11.6640625" style="69" customWidth="1"/>
    <col min="14081" max="14081" width="10.44140625" style="69" customWidth="1"/>
    <col min="14082" max="14082" width="13.44140625" style="69" customWidth="1"/>
    <col min="14083" max="14328" width="7" style="69"/>
    <col min="14329" max="14329" width="4.109375" style="69" customWidth="1"/>
    <col min="14330" max="14330" width="3.6640625" style="69" customWidth="1"/>
    <col min="14331" max="14331" width="4.88671875" style="69" customWidth="1"/>
    <col min="14332" max="14332" width="10.33203125" style="69" customWidth="1"/>
    <col min="14333" max="14333" width="13.33203125" style="69" customWidth="1"/>
    <col min="14334" max="14334" width="5.5546875" style="69" customWidth="1"/>
    <col min="14335" max="14335" width="6.44140625" style="69" customWidth="1"/>
    <col min="14336" max="14336" width="11.6640625" style="69" customWidth="1"/>
    <col min="14337" max="14337" width="10.44140625" style="69" customWidth="1"/>
    <col min="14338" max="14338" width="13.44140625" style="69" customWidth="1"/>
    <col min="14339" max="14584" width="7" style="69"/>
    <col min="14585" max="14585" width="4.109375" style="69" customWidth="1"/>
    <col min="14586" max="14586" width="3.6640625" style="69" customWidth="1"/>
    <col min="14587" max="14587" width="4.88671875" style="69" customWidth="1"/>
    <col min="14588" max="14588" width="10.33203125" style="69" customWidth="1"/>
    <col min="14589" max="14589" width="13.33203125" style="69" customWidth="1"/>
    <col min="14590" max="14590" width="5.5546875" style="69" customWidth="1"/>
    <col min="14591" max="14591" width="6.44140625" style="69" customWidth="1"/>
    <col min="14592" max="14592" width="11.6640625" style="69" customWidth="1"/>
    <col min="14593" max="14593" width="10.44140625" style="69" customWidth="1"/>
    <col min="14594" max="14594" width="13.44140625" style="69" customWidth="1"/>
    <col min="14595" max="14840" width="7" style="69"/>
    <col min="14841" max="14841" width="4.109375" style="69" customWidth="1"/>
    <col min="14842" max="14842" width="3.6640625" style="69" customWidth="1"/>
    <col min="14843" max="14843" width="4.88671875" style="69" customWidth="1"/>
    <col min="14844" max="14844" width="10.33203125" style="69" customWidth="1"/>
    <col min="14845" max="14845" width="13.33203125" style="69" customWidth="1"/>
    <col min="14846" max="14846" width="5.5546875" style="69" customWidth="1"/>
    <col min="14847" max="14847" width="6.44140625" style="69" customWidth="1"/>
    <col min="14848" max="14848" width="11.6640625" style="69" customWidth="1"/>
    <col min="14849" max="14849" width="10.44140625" style="69" customWidth="1"/>
    <col min="14850" max="14850" width="13.44140625" style="69" customWidth="1"/>
    <col min="14851" max="15096" width="7" style="69"/>
    <col min="15097" max="15097" width="4.109375" style="69" customWidth="1"/>
    <col min="15098" max="15098" width="3.6640625" style="69" customWidth="1"/>
    <col min="15099" max="15099" width="4.88671875" style="69" customWidth="1"/>
    <col min="15100" max="15100" width="10.33203125" style="69" customWidth="1"/>
    <col min="15101" max="15101" width="13.33203125" style="69" customWidth="1"/>
    <col min="15102" max="15102" width="5.5546875" style="69" customWidth="1"/>
    <col min="15103" max="15103" width="6.44140625" style="69" customWidth="1"/>
    <col min="15104" max="15104" width="11.6640625" style="69" customWidth="1"/>
    <col min="15105" max="15105" width="10.44140625" style="69" customWidth="1"/>
    <col min="15106" max="15106" width="13.44140625" style="69" customWidth="1"/>
    <col min="15107" max="15352" width="7" style="69"/>
    <col min="15353" max="15353" width="4.109375" style="69" customWidth="1"/>
    <col min="15354" max="15354" width="3.6640625" style="69" customWidth="1"/>
    <col min="15355" max="15355" width="4.88671875" style="69" customWidth="1"/>
    <col min="15356" max="15356" width="10.33203125" style="69" customWidth="1"/>
    <col min="15357" max="15357" width="13.33203125" style="69" customWidth="1"/>
    <col min="15358" max="15358" width="5.5546875" style="69" customWidth="1"/>
    <col min="15359" max="15359" width="6.44140625" style="69" customWidth="1"/>
    <col min="15360" max="15360" width="11.6640625" style="69" customWidth="1"/>
    <col min="15361" max="15361" width="10.44140625" style="69" customWidth="1"/>
    <col min="15362" max="15362" width="13.44140625" style="69" customWidth="1"/>
    <col min="15363" max="15608" width="7" style="69"/>
    <col min="15609" max="15609" width="4.109375" style="69" customWidth="1"/>
    <col min="15610" max="15610" width="3.6640625" style="69" customWidth="1"/>
    <col min="15611" max="15611" width="4.88671875" style="69" customWidth="1"/>
    <col min="15612" max="15612" width="10.33203125" style="69" customWidth="1"/>
    <col min="15613" max="15613" width="13.33203125" style="69" customWidth="1"/>
    <col min="15614" max="15614" width="5.5546875" style="69" customWidth="1"/>
    <col min="15615" max="15615" width="6.44140625" style="69" customWidth="1"/>
    <col min="15616" max="15616" width="11.6640625" style="69" customWidth="1"/>
    <col min="15617" max="15617" width="10.44140625" style="69" customWidth="1"/>
    <col min="15618" max="15618" width="13.44140625" style="69" customWidth="1"/>
    <col min="15619" max="15864" width="7" style="69"/>
    <col min="15865" max="15865" width="4.109375" style="69" customWidth="1"/>
    <col min="15866" max="15866" width="3.6640625" style="69" customWidth="1"/>
    <col min="15867" max="15867" width="4.88671875" style="69" customWidth="1"/>
    <col min="15868" max="15868" width="10.33203125" style="69" customWidth="1"/>
    <col min="15869" max="15869" width="13.33203125" style="69" customWidth="1"/>
    <col min="15870" max="15870" width="5.5546875" style="69" customWidth="1"/>
    <col min="15871" max="15871" width="6.44140625" style="69" customWidth="1"/>
    <col min="15872" max="15872" width="11.6640625" style="69" customWidth="1"/>
    <col min="15873" max="15873" width="10.44140625" style="69" customWidth="1"/>
    <col min="15874" max="15874" width="13.44140625" style="69" customWidth="1"/>
    <col min="15875" max="16120" width="7" style="69"/>
    <col min="16121" max="16121" width="4.109375" style="69" customWidth="1"/>
    <col min="16122" max="16122" width="3.6640625" style="69" customWidth="1"/>
    <col min="16123" max="16123" width="4.88671875" style="69" customWidth="1"/>
    <col min="16124" max="16124" width="10.33203125" style="69" customWidth="1"/>
    <col min="16125" max="16125" width="13.33203125" style="69" customWidth="1"/>
    <col min="16126" max="16126" width="5.5546875" style="69" customWidth="1"/>
    <col min="16127" max="16127" width="6.44140625" style="69" customWidth="1"/>
    <col min="16128" max="16128" width="11.6640625" style="69" customWidth="1"/>
    <col min="16129" max="16129" width="10.44140625" style="69" customWidth="1"/>
    <col min="16130" max="16130" width="13.44140625" style="69" customWidth="1"/>
    <col min="16131" max="16384" width="7" style="69"/>
  </cols>
  <sheetData>
    <row r="3" spans="1:23" ht="37.5" x14ac:dyDescent="0.3">
      <c r="A3" s="162" t="s">
        <v>0</v>
      </c>
      <c r="B3" s="162" t="s">
        <v>651</v>
      </c>
      <c r="C3" s="162" t="s">
        <v>1908</v>
      </c>
      <c r="D3" s="162" t="s">
        <v>1909</v>
      </c>
      <c r="E3" s="162" t="s">
        <v>1910</v>
      </c>
      <c r="F3" s="162" t="s">
        <v>1911</v>
      </c>
      <c r="G3" s="162" t="s">
        <v>1912</v>
      </c>
    </row>
    <row r="4" spans="1:23" x14ac:dyDescent="0.3">
      <c r="A4" s="35">
        <v>1</v>
      </c>
      <c r="B4" s="35" t="e" cm="1">
        <f t="array" ref="B4">_xlfn.VSTACK((_xlfn._xlws.FILTER(Sheet!C2:C322, (Sheet!#REF!="Ánh đóng")*(Sheet!#REF! &lt;&gt; ""), "")),"Tổng cộng","Bằng chữ")</f>
        <v>#REF!</v>
      </c>
      <c r="C4" s="171">
        <f>$Q$6</f>
        <v>45993</v>
      </c>
      <c r="D4" s="35" t="e">
        <f>"Thông báo tiền điện tháng " &amp; $Q$5 &amp; " - " &amp; VLOOKUP(B4,Sheet!C2:D322,3,0)</f>
        <v>#REF!</v>
      </c>
      <c r="E4" s="165" t="e">
        <f>ROUND(G4/1.08,0)</f>
        <v>#REF!</v>
      </c>
      <c r="F4" s="165" t="e">
        <f>ROUND(E4*8%,0)</f>
        <v>#REF!</v>
      </c>
      <c r="G4" s="172" t="e">
        <f>VLOOKUP(B4,Sheet!C2:D322,4,0)</f>
        <v>#REF!</v>
      </c>
    </row>
    <row r="5" spans="1:23" x14ac:dyDescent="0.3">
      <c r="A5" s="35">
        <v>2</v>
      </c>
      <c r="B5" s="35"/>
      <c r="C5" s="171">
        <f t="shared" ref="C5:C17" si="0">$Q$6</f>
        <v>45993</v>
      </c>
      <c r="D5" s="35" t="e">
        <f>"Thông báo tiền điện tháng " &amp; $Q$5 &amp; " - " &amp; VLOOKUP(B5,Sheet!C3:D323,3,0)</f>
        <v>#N/A</v>
      </c>
      <c r="E5" s="165" t="e">
        <f t="shared" ref="E5" si="1">ROUND(G5/1.08,0)</f>
        <v>#N/A</v>
      </c>
      <c r="F5" s="165" t="e">
        <f t="shared" ref="F5" si="2">ROUND(E5*8%,0)</f>
        <v>#N/A</v>
      </c>
      <c r="G5" s="172" t="e">
        <f>VLOOKUP(B5,Sheet!C3:D323,4,0)</f>
        <v>#N/A</v>
      </c>
      <c r="H5" s="69"/>
      <c r="I5" s="69"/>
      <c r="J5" s="69"/>
      <c r="K5" s="69"/>
      <c r="L5" s="69"/>
      <c r="M5" s="69"/>
      <c r="N5" s="69"/>
      <c r="O5" s="69"/>
      <c r="P5" s="69"/>
      <c r="Q5" s="150" t="s">
        <v>2238</v>
      </c>
      <c r="R5" s="69"/>
      <c r="U5" s="69"/>
      <c r="V5" s="69"/>
      <c r="W5" s="69"/>
    </row>
    <row r="6" spans="1:23" x14ac:dyDescent="0.3">
      <c r="A6" s="35">
        <v>3</v>
      </c>
      <c r="B6" s="35"/>
      <c r="C6" s="171">
        <f t="shared" si="0"/>
        <v>45993</v>
      </c>
      <c r="D6" s="35" t="e">
        <f>"Thông báo tiền điện tháng " &amp; $Q$5 &amp; " - " &amp; VLOOKUP(B6,Sheet!C4:D324,3,0)</f>
        <v>#N/A</v>
      </c>
      <c r="E6" s="165" t="e">
        <f>ROUND(G6/1.08,0)</f>
        <v>#N/A</v>
      </c>
      <c r="F6" s="165" t="e">
        <f>ROUND(E6*8%,0)</f>
        <v>#N/A</v>
      </c>
      <c r="G6" s="172" t="e">
        <f>VLOOKUP(B6,Sheet!C4:D324,4,0)</f>
        <v>#N/A</v>
      </c>
      <c r="H6" s="69"/>
      <c r="I6" s="69"/>
      <c r="J6" s="69"/>
      <c r="K6" s="69"/>
      <c r="L6" s="69"/>
      <c r="M6" s="69"/>
      <c r="N6" s="69"/>
      <c r="O6" s="69"/>
      <c r="P6" s="69"/>
      <c r="Q6" s="170">
        <v>45993</v>
      </c>
      <c r="R6" s="69"/>
      <c r="U6" s="69"/>
      <c r="V6" s="69"/>
      <c r="W6" s="69"/>
    </row>
    <row r="7" spans="1:23" x14ac:dyDescent="0.3">
      <c r="A7" s="35">
        <v>4</v>
      </c>
      <c r="B7" s="35"/>
      <c r="C7" s="171">
        <f t="shared" si="0"/>
        <v>45993</v>
      </c>
      <c r="D7" s="35" t="e">
        <f>"Thông báo tiền điện tháng " &amp; $Q$5 &amp; " - " &amp; VLOOKUP(B7,Sheet!C5:D325,3,0)</f>
        <v>#N/A</v>
      </c>
      <c r="E7" s="165" t="e">
        <f>ROUND(G7/1.08,0)</f>
        <v>#N/A</v>
      </c>
      <c r="F7" s="165" t="e">
        <f>ROUND(E7*8%,0)</f>
        <v>#N/A</v>
      </c>
      <c r="G7" s="172" t="e">
        <f>VLOOKUP(B7,Sheet!C5:D325,4,0)</f>
        <v>#N/A</v>
      </c>
      <c r="H7" s="69"/>
      <c r="I7" s="69"/>
      <c r="J7" s="69"/>
      <c r="K7" s="69"/>
      <c r="L7" s="69"/>
      <c r="M7" s="69"/>
      <c r="N7" s="69"/>
      <c r="O7" s="69"/>
      <c r="P7" s="69"/>
      <c r="Q7" s="69"/>
      <c r="R7" s="69"/>
      <c r="U7" s="69"/>
      <c r="V7" s="69"/>
      <c r="W7" s="69"/>
    </row>
    <row r="8" spans="1:23" x14ac:dyDescent="0.3">
      <c r="A8" s="35">
        <v>5</v>
      </c>
      <c r="B8" s="35"/>
      <c r="C8" s="171">
        <f t="shared" si="0"/>
        <v>45993</v>
      </c>
      <c r="D8" s="35" t="e">
        <f>"Thông báo tiền điện tháng " &amp; $Q$5 &amp; " - " &amp; VLOOKUP(B8,Sheet!C6:D326,3,0)</f>
        <v>#N/A</v>
      </c>
      <c r="E8" s="165" t="e">
        <f t="shared" ref="E8" si="3">ROUND(G8/1.08,0)</f>
        <v>#N/A</v>
      </c>
      <c r="F8" s="165" t="e">
        <f t="shared" ref="F8" si="4">ROUND(E8*8%,0)</f>
        <v>#N/A</v>
      </c>
      <c r="G8" s="172" t="e">
        <f>VLOOKUP(B8,Sheet!C6:D326,4,0)</f>
        <v>#N/A</v>
      </c>
      <c r="H8" s="69"/>
      <c r="I8" s="69"/>
      <c r="J8" s="69"/>
      <c r="K8" s="69"/>
      <c r="L8" s="69"/>
      <c r="M8" s="69"/>
      <c r="N8" s="69"/>
      <c r="O8" s="69"/>
      <c r="P8" s="163">
        <v>1</v>
      </c>
      <c r="Q8" s="163" t="s">
        <v>116</v>
      </c>
      <c r="R8" s="163">
        <v>137196</v>
      </c>
      <c r="S8" s="164">
        <v>45993</v>
      </c>
      <c r="T8" s="35" t="str">
        <f>"Thông báo tiền điện tháng "&amp; $Q$5 &amp;" - Căn 58 - TDC31"</f>
        <v>Thông báo tiền điện tháng 11/2025 - Căn 58 - TDC31</v>
      </c>
      <c r="U8" s="165">
        <f>ROUND(W8/1.08,0)</f>
        <v>778260</v>
      </c>
      <c r="V8" s="165">
        <f>ROUND(U8*8%,0)</f>
        <v>62261</v>
      </c>
      <c r="W8" s="165">
        <v>840521</v>
      </c>
    </row>
    <row r="9" spans="1:23" x14ac:dyDescent="0.3">
      <c r="A9" s="35">
        <v>6</v>
      </c>
      <c r="B9" s="35"/>
      <c r="C9" s="171">
        <f t="shared" si="0"/>
        <v>45993</v>
      </c>
      <c r="D9" s="35" t="e">
        <f>"Thông báo tiền điện tháng " &amp; $Q$5 &amp; " - " &amp; VLOOKUP(B9,Sheet!C7:D327,3,0)</f>
        <v>#N/A</v>
      </c>
      <c r="E9" s="165" t="e">
        <f>ROUND(G9/1.08,0)</f>
        <v>#N/A</v>
      </c>
      <c r="F9" s="165" t="e">
        <f>ROUND(E9*8%,0)</f>
        <v>#N/A</v>
      </c>
      <c r="G9" s="172" t="e">
        <f>VLOOKUP(B9,Sheet!C7:D327,4,0)</f>
        <v>#N/A</v>
      </c>
      <c r="H9" s="69"/>
      <c r="I9" s="69"/>
      <c r="J9" s="69"/>
      <c r="K9" s="69"/>
      <c r="L9" s="69"/>
      <c r="M9" s="69"/>
      <c r="N9" s="69"/>
      <c r="O9" s="69"/>
      <c r="P9" s="163">
        <v>2</v>
      </c>
      <c r="Q9" s="163" t="s">
        <v>117</v>
      </c>
      <c r="R9" s="163">
        <v>137197</v>
      </c>
      <c r="S9" s="164">
        <v>45993</v>
      </c>
      <c r="T9" s="35" t="str">
        <f>"Thông báo tiền điện tháng "&amp; $Q$5 &amp;" - Căn 59 - TDC31"</f>
        <v>Thông báo tiền điện tháng 11/2025 - Căn 59 - TDC31</v>
      </c>
      <c r="U9" s="165">
        <f t="shared" ref="U9:U21" si="5">ROUND(W9/1.08,0)</f>
        <v>906780</v>
      </c>
      <c r="V9" s="165">
        <f t="shared" ref="V9:V21" si="6">ROUND(U9*8%,0)</f>
        <v>72542</v>
      </c>
      <c r="W9" s="165">
        <v>979322</v>
      </c>
    </row>
    <row r="10" spans="1:23" x14ac:dyDescent="0.3">
      <c r="A10" s="35">
        <v>7</v>
      </c>
      <c r="B10" s="35"/>
      <c r="C10" s="171">
        <f t="shared" si="0"/>
        <v>45993</v>
      </c>
      <c r="D10" s="35" t="e">
        <f>"Thông báo tiền điện tháng " &amp; $Q$5 &amp; " - " &amp; VLOOKUP(B10,Sheet!C8:D328,3,0)</f>
        <v>#N/A</v>
      </c>
      <c r="E10" s="165" t="e">
        <f>ROUND(G10/1.08,0)</f>
        <v>#N/A</v>
      </c>
      <c r="F10" s="165" t="e">
        <f>ROUND(E10*8%,0)</f>
        <v>#N/A</v>
      </c>
      <c r="G10" s="172" t="e">
        <f>VLOOKUP(B10,Sheet!C8:D328,4,0)</f>
        <v>#N/A</v>
      </c>
      <c r="H10" s="69"/>
      <c r="I10" s="69"/>
      <c r="J10" s="69"/>
      <c r="K10" s="69"/>
      <c r="L10" s="69"/>
      <c r="M10" s="69"/>
      <c r="N10" s="69"/>
      <c r="O10" s="69"/>
      <c r="P10" s="163">
        <v>3</v>
      </c>
      <c r="Q10" s="163" t="s">
        <v>341</v>
      </c>
      <c r="R10" s="163">
        <v>136945</v>
      </c>
      <c r="S10" s="164">
        <v>45993</v>
      </c>
      <c r="T10" s="163" t="s">
        <v>2226</v>
      </c>
      <c r="U10" s="165">
        <f>ROUND(W10/1.08,0)</f>
        <v>1984</v>
      </c>
      <c r="V10" s="165">
        <f>ROUND(U10*8%,0)</f>
        <v>159</v>
      </c>
      <c r="W10" s="165">
        <v>2143</v>
      </c>
    </row>
    <row r="11" spans="1:23" x14ac:dyDescent="0.3">
      <c r="A11" s="35">
        <v>8</v>
      </c>
      <c r="B11" s="35"/>
      <c r="C11" s="171">
        <f t="shared" si="0"/>
        <v>45993</v>
      </c>
      <c r="D11" s="35" t="e">
        <f>"Thông báo tiền điện tháng " &amp; $Q$5 &amp; " - " &amp; VLOOKUP(B11,Sheet!C9:D329,3,0)</f>
        <v>#N/A</v>
      </c>
      <c r="E11" s="165" t="e">
        <f>ROUND(G11/1.08,0)</f>
        <v>#N/A</v>
      </c>
      <c r="F11" s="165" t="e">
        <f>ROUND(E11*8%,0)</f>
        <v>#N/A</v>
      </c>
      <c r="G11" s="172" t="e">
        <f>VLOOKUP(B11,Sheet!C9:D329,4,0)</f>
        <v>#N/A</v>
      </c>
      <c r="H11" s="69"/>
      <c r="I11" s="69"/>
      <c r="J11" s="69"/>
      <c r="K11" s="69"/>
      <c r="L11" s="69"/>
      <c r="M11" s="69"/>
      <c r="N11" s="69"/>
      <c r="O11" s="69"/>
      <c r="P11" s="163">
        <v>4</v>
      </c>
      <c r="Q11" s="163" t="s">
        <v>347</v>
      </c>
      <c r="R11" s="163">
        <v>136970</v>
      </c>
      <c r="S11" s="164">
        <v>45993</v>
      </c>
      <c r="T11" s="163" t="s">
        <v>1913</v>
      </c>
      <c r="U11" s="165">
        <f>ROUND(W11/1.08,0)</f>
        <v>1984</v>
      </c>
      <c r="V11" s="165">
        <f>ROUND(U11*8%,0)</f>
        <v>159</v>
      </c>
      <c r="W11" s="165">
        <v>2143</v>
      </c>
    </row>
    <row r="12" spans="1:23" x14ac:dyDescent="0.3">
      <c r="A12" s="35">
        <v>9</v>
      </c>
      <c r="B12" s="35"/>
      <c r="C12" s="171">
        <f t="shared" si="0"/>
        <v>45993</v>
      </c>
      <c r="D12" s="35" t="e">
        <f>"Thông báo tiền điện tháng " &amp; $Q$5 &amp; " - " &amp; VLOOKUP(B12,Sheet!C10:D330,3,0)</f>
        <v>#N/A</v>
      </c>
      <c r="E12" s="165" t="e">
        <f>ROUND(G12/1.08,0)</f>
        <v>#N/A</v>
      </c>
      <c r="F12" s="165" t="e">
        <f>ROUND(E12*8%,0)</f>
        <v>#N/A</v>
      </c>
      <c r="G12" s="172" t="e">
        <f>VLOOKUP(B12,Sheet!C10:D330,4,0)</f>
        <v>#N/A</v>
      </c>
      <c r="H12" s="69"/>
      <c r="I12" s="69"/>
      <c r="J12" s="69"/>
      <c r="K12" s="69"/>
      <c r="L12" s="69"/>
      <c r="M12" s="69"/>
      <c r="N12" s="69"/>
      <c r="O12" s="69"/>
      <c r="P12" s="163">
        <v>5</v>
      </c>
      <c r="Q12" s="163" t="s">
        <v>346</v>
      </c>
      <c r="R12" s="163">
        <v>136962</v>
      </c>
      <c r="S12" s="164">
        <v>45993</v>
      </c>
      <c r="T12" s="163" t="s">
        <v>1914</v>
      </c>
      <c r="U12" s="165">
        <f t="shared" ref="U12" si="7">ROUND(W12/1.08,0)</f>
        <v>1984</v>
      </c>
      <c r="V12" s="165">
        <f t="shared" ref="V12" si="8">ROUND(U12*8%,0)</f>
        <v>159</v>
      </c>
      <c r="W12" s="165">
        <v>2143</v>
      </c>
    </row>
    <row r="13" spans="1:23" x14ac:dyDescent="0.3">
      <c r="A13" s="35">
        <v>10</v>
      </c>
      <c r="B13" s="35"/>
      <c r="C13" s="171">
        <f t="shared" si="0"/>
        <v>45993</v>
      </c>
      <c r="D13" s="35" t="e">
        <f>"Thông báo tiền điện tháng " &amp; $Q$5 &amp; " - " &amp; VLOOKUP(B13,Sheet!C11:D331,3,0)</f>
        <v>#N/A</v>
      </c>
      <c r="E13" s="165" t="e">
        <f t="shared" ref="E13" si="9">ROUND(G13/1.08,0)</f>
        <v>#N/A</v>
      </c>
      <c r="F13" s="165" t="e">
        <f t="shared" ref="F13" si="10">ROUND(E13*8%,0)</f>
        <v>#N/A</v>
      </c>
      <c r="G13" s="172" t="e">
        <f>VLOOKUP(B13,Sheet!C11:D331,4,0)</f>
        <v>#N/A</v>
      </c>
      <c r="H13" s="69"/>
      <c r="I13" s="69"/>
      <c r="J13" s="69"/>
      <c r="K13" s="69"/>
      <c r="L13" s="69"/>
      <c r="M13" s="69"/>
      <c r="N13" s="69"/>
      <c r="O13" s="69"/>
      <c r="P13" s="163">
        <v>6</v>
      </c>
      <c r="Q13" s="163" t="s">
        <v>343</v>
      </c>
      <c r="R13" s="163">
        <v>136972</v>
      </c>
      <c r="S13" s="164">
        <v>45993</v>
      </c>
      <c r="T13" s="163" t="s">
        <v>1915</v>
      </c>
      <c r="U13" s="165">
        <f>ROUND(W13/1.08,0)</f>
        <v>17856</v>
      </c>
      <c r="V13" s="165">
        <f>ROUND(U13*8%,0)</f>
        <v>1428</v>
      </c>
      <c r="W13" s="165">
        <v>19284</v>
      </c>
    </row>
    <row r="14" spans="1:23" x14ac:dyDescent="0.3">
      <c r="A14" s="35">
        <v>11</v>
      </c>
      <c r="B14" s="35"/>
      <c r="C14" s="171">
        <f t="shared" si="0"/>
        <v>45993</v>
      </c>
      <c r="D14" s="35" t="e">
        <f>"Thông báo tiền điện tháng " &amp; $Q$5 &amp; " - " &amp; VLOOKUP(B14,Sheet!C12:D332,3,0)</f>
        <v>#N/A</v>
      </c>
      <c r="E14" s="165" t="e">
        <f>ROUND(G14/1.08,0)</f>
        <v>#N/A</v>
      </c>
      <c r="F14" s="165" t="e">
        <f>ROUND(E14*8%,0)</f>
        <v>#N/A</v>
      </c>
      <c r="G14" s="172" t="e">
        <f>VLOOKUP(B14,Sheet!C12:D332,4,0)</f>
        <v>#N/A</v>
      </c>
      <c r="H14" s="69"/>
      <c r="I14" s="69"/>
      <c r="J14" s="69"/>
      <c r="K14" s="69"/>
      <c r="L14" s="69"/>
      <c r="M14" s="69"/>
      <c r="N14" s="69"/>
      <c r="O14" s="69"/>
      <c r="P14" s="163">
        <v>7</v>
      </c>
      <c r="Q14" s="163" t="s">
        <v>342</v>
      </c>
      <c r="R14" s="163">
        <v>136973</v>
      </c>
      <c r="S14" s="164">
        <v>45993</v>
      </c>
      <c r="T14" s="163" t="s">
        <v>1916</v>
      </c>
      <c r="U14" s="165">
        <f>ROUND(W14/1.08,0)</f>
        <v>1984</v>
      </c>
      <c r="V14" s="165">
        <f>ROUND(U14*8%,0)</f>
        <v>159</v>
      </c>
      <c r="W14" s="165">
        <v>2143</v>
      </c>
    </row>
    <row r="15" spans="1:23" x14ac:dyDescent="0.3">
      <c r="A15" s="35">
        <v>12</v>
      </c>
      <c r="B15" s="35"/>
      <c r="C15" s="171">
        <f t="shared" si="0"/>
        <v>45993</v>
      </c>
      <c r="D15" s="35" t="e">
        <f>"Thông báo tiền điện tháng " &amp; $Q$5 &amp; " - " &amp; VLOOKUP(B15,Sheet!C13:D333,3,0)</f>
        <v>#N/A</v>
      </c>
      <c r="E15" s="165" t="e">
        <f>ROUND(G15/1.08,0)</f>
        <v>#N/A</v>
      </c>
      <c r="F15" s="165" t="e">
        <f>ROUND(E15*8%,0)</f>
        <v>#N/A</v>
      </c>
      <c r="G15" s="172" t="e">
        <f>VLOOKUP(B15,Sheet!C13:D333,4,0)</f>
        <v>#N/A</v>
      </c>
      <c r="H15" s="69"/>
      <c r="I15" s="69"/>
      <c r="J15" s="69"/>
      <c r="K15" s="69"/>
      <c r="L15" s="69"/>
      <c r="M15" s="69"/>
      <c r="N15" s="69"/>
      <c r="O15" s="69"/>
      <c r="P15" s="163">
        <v>8</v>
      </c>
      <c r="Q15" s="163" t="s">
        <v>610</v>
      </c>
      <c r="R15" s="163">
        <v>136978</v>
      </c>
      <c r="S15" s="164">
        <v>45993</v>
      </c>
      <c r="T15" s="163" t="s">
        <v>1917</v>
      </c>
      <c r="U15" s="165">
        <f>ROUND(W15/1.08,0)</f>
        <v>5952</v>
      </c>
      <c r="V15" s="165">
        <f>ROUND(U15*8%,0)</f>
        <v>476</v>
      </c>
      <c r="W15" s="165">
        <v>6428</v>
      </c>
    </row>
    <row r="16" spans="1:23" x14ac:dyDescent="0.3">
      <c r="A16" s="35">
        <v>13</v>
      </c>
      <c r="B16" s="35"/>
      <c r="C16" s="171">
        <f t="shared" si="0"/>
        <v>45993</v>
      </c>
      <c r="D16" s="35" t="e">
        <f>"Thông báo tiền điện tháng " &amp; $Q$5 &amp; " - " &amp; VLOOKUP(B16,Sheet!C14:D334,3,0)</f>
        <v>#N/A</v>
      </c>
      <c r="E16" s="165" t="e">
        <f t="shared" ref="E16:E17" si="11">ROUND(G16/1.08,0)</f>
        <v>#N/A</v>
      </c>
      <c r="F16" s="165" t="e">
        <f t="shared" ref="F16:F17" si="12">ROUND(E16*8%,0)</f>
        <v>#N/A</v>
      </c>
      <c r="G16" s="172" t="e">
        <f>VLOOKUP(B16,Sheet!C14:D334,4,0)</f>
        <v>#N/A</v>
      </c>
      <c r="H16" s="69"/>
      <c r="I16" s="69"/>
      <c r="J16" s="69"/>
      <c r="K16" s="69"/>
      <c r="L16" s="69"/>
      <c r="M16" s="69"/>
      <c r="N16" s="69"/>
      <c r="O16" s="69"/>
      <c r="P16" s="163">
        <v>9</v>
      </c>
      <c r="Q16" s="163" t="s">
        <v>292</v>
      </c>
      <c r="R16" s="163">
        <v>136985</v>
      </c>
      <c r="S16" s="164">
        <v>45993</v>
      </c>
      <c r="T16" s="163" t="s">
        <v>1918</v>
      </c>
      <c r="U16" s="165">
        <f>ROUND(W16/1.08,0)</f>
        <v>45632</v>
      </c>
      <c r="V16" s="165">
        <f>ROUND(U16*8%,0)</f>
        <v>3651</v>
      </c>
      <c r="W16" s="165">
        <v>49283</v>
      </c>
    </row>
    <row r="17" spans="1:23" x14ac:dyDescent="0.3">
      <c r="A17" s="35">
        <v>14</v>
      </c>
      <c r="B17" s="35"/>
      <c r="C17" s="171">
        <f t="shared" si="0"/>
        <v>45993</v>
      </c>
      <c r="D17" s="35" t="e">
        <f>"Thông báo tiền điện tháng " &amp; $Q$5 &amp; " - " &amp; VLOOKUP(B17,Sheet!C15:D335,3,0)</f>
        <v>#N/A</v>
      </c>
      <c r="E17" s="165" t="e">
        <f t="shared" si="11"/>
        <v>#N/A</v>
      </c>
      <c r="F17" s="165" t="e">
        <f t="shared" si="12"/>
        <v>#N/A</v>
      </c>
      <c r="G17" s="172" t="e">
        <f>VLOOKUP(B17,Sheet!C15:D335,4,0)</f>
        <v>#N/A</v>
      </c>
      <c r="H17" s="69"/>
      <c r="I17" s="69"/>
      <c r="J17" s="69"/>
      <c r="K17" s="69"/>
      <c r="L17" s="69"/>
      <c r="M17" s="69"/>
      <c r="N17" s="69"/>
      <c r="O17" s="69"/>
      <c r="P17" s="163">
        <v>10</v>
      </c>
      <c r="Q17" s="163" t="s">
        <v>298</v>
      </c>
      <c r="R17" s="163">
        <v>136988</v>
      </c>
      <c r="S17" s="164">
        <v>45993</v>
      </c>
      <c r="T17" s="163" t="s">
        <v>2225</v>
      </c>
      <c r="U17" s="165">
        <f t="shared" si="5"/>
        <v>11904</v>
      </c>
      <c r="V17" s="165">
        <f t="shared" si="6"/>
        <v>952</v>
      </c>
      <c r="W17" s="165">
        <v>12856</v>
      </c>
    </row>
    <row r="18" spans="1:23" x14ac:dyDescent="0.3">
      <c r="H18" s="69"/>
      <c r="I18" s="69"/>
      <c r="J18" s="69"/>
      <c r="K18" s="69"/>
      <c r="L18" s="69"/>
      <c r="M18" s="69"/>
      <c r="N18" s="69"/>
      <c r="O18" s="69"/>
      <c r="P18" s="163">
        <v>11</v>
      </c>
      <c r="Q18" s="163" t="s">
        <v>634</v>
      </c>
      <c r="R18" s="163">
        <v>136989</v>
      </c>
      <c r="S18" s="164">
        <v>45993</v>
      </c>
      <c r="T18" s="163" t="s">
        <v>2227</v>
      </c>
      <c r="U18" s="165">
        <f>ROUND(W18/1.08,0)</f>
        <v>9920</v>
      </c>
      <c r="V18" s="165">
        <f>ROUND(U18*8%,0)</f>
        <v>794</v>
      </c>
      <c r="W18" s="165">
        <v>10714</v>
      </c>
    </row>
    <row r="19" spans="1:23" x14ac:dyDescent="0.3">
      <c r="H19" s="69"/>
      <c r="I19" s="69"/>
      <c r="J19" s="69"/>
      <c r="K19" s="69"/>
      <c r="L19" s="69"/>
      <c r="M19" s="69"/>
      <c r="N19" s="69"/>
      <c r="O19" s="69"/>
      <c r="P19" s="163">
        <v>12</v>
      </c>
      <c r="Q19" s="163" t="s">
        <v>636</v>
      </c>
      <c r="R19" s="163">
        <v>136990</v>
      </c>
      <c r="S19" s="164">
        <v>45993</v>
      </c>
      <c r="T19" s="163" t="s">
        <v>2228</v>
      </c>
      <c r="U19" s="165">
        <f>ROUND(W19/1.08,0)</f>
        <v>9920</v>
      </c>
      <c r="V19" s="165">
        <f>ROUND(U19*8%,0)</f>
        <v>794</v>
      </c>
      <c r="W19" s="165">
        <v>10714</v>
      </c>
    </row>
    <row r="20" spans="1:23" x14ac:dyDescent="0.3">
      <c r="A20" s="69"/>
      <c r="B20" s="69"/>
      <c r="D20" s="69"/>
      <c r="G20" s="69"/>
      <c r="H20" s="69"/>
      <c r="I20" s="69"/>
      <c r="J20" s="69"/>
      <c r="K20" s="69"/>
      <c r="L20" s="69"/>
      <c r="M20" s="69"/>
      <c r="N20" s="69"/>
      <c r="O20" s="69"/>
      <c r="P20" s="163">
        <v>13</v>
      </c>
      <c r="Q20" s="163" t="s">
        <v>640</v>
      </c>
      <c r="R20" s="163">
        <v>136991</v>
      </c>
      <c r="S20" s="164">
        <v>45993</v>
      </c>
      <c r="T20" s="163" t="s">
        <v>1919</v>
      </c>
      <c r="U20" s="165">
        <f t="shared" si="5"/>
        <v>3968</v>
      </c>
      <c r="V20" s="165">
        <f t="shared" si="6"/>
        <v>317</v>
      </c>
      <c r="W20" s="165">
        <v>4285</v>
      </c>
    </row>
    <row r="21" spans="1:23" x14ac:dyDescent="0.3">
      <c r="A21" s="69"/>
      <c r="B21" s="69"/>
      <c r="D21" s="69"/>
      <c r="G21" s="69"/>
      <c r="H21" s="69"/>
      <c r="I21" s="69"/>
      <c r="J21" s="69"/>
      <c r="K21" s="69"/>
      <c r="L21" s="69"/>
      <c r="M21" s="69"/>
      <c r="N21" s="69"/>
      <c r="O21" s="69"/>
      <c r="P21" s="163">
        <v>14</v>
      </c>
      <c r="Q21" s="163" t="s">
        <v>818</v>
      </c>
      <c r="R21" s="163">
        <v>140808</v>
      </c>
      <c r="S21" s="164">
        <v>45993</v>
      </c>
      <c r="T21" s="163" t="s">
        <v>2229</v>
      </c>
      <c r="U21" s="165">
        <f t="shared" si="5"/>
        <v>1984</v>
      </c>
      <c r="V21" s="165">
        <f t="shared" si="6"/>
        <v>159</v>
      </c>
      <c r="W21" s="165">
        <v>2143</v>
      </c>
    </row>
    <row r="22" spans="1:23" x14ac:dyDescent="0.3">
      <c r="A22" s="69"/>
      <c r="B22" s="69"/>
      <c r="D22" s="69"/>
      <c r="G22" s="69"/>
      <c r="H22" s="69"/>
      <c r="I22" s="69"/>
      <c r="J22" s="69"/>
      <c r="K22" s="69"/>
      <c r="L22" s="69"/>
      <c r="M22" s="69"/>
      <c r="N22" s="69"/>
      <c r="O22" s="69"/>
      <c r="P22" s="189" t="s">
        <v>1920</v>
      </c>
      <c r="Q22" s="189"/>
      <c r="R22" s="189"/>
      <c r="S22" s="189"/>
      <c r="T22" s="189"/>
      <c r="U22" s="167">
        <f>SUBTOTAL(9,U8:U21)</f>
        <v>1800112</v>
      </c>
      <c r="V22" s="167">
        <f>SUBTOTAL(9,V8:V21)</f>
        <v>144010</v>
      </c>
      <c r="W22" s="167">
        <f>SUBTOTAL(9,W8:W21)</f>
        <v>1944122</v>
      </c>
    </row>
    <row r="23" spans="1:23" x14ac:dyDescent="0.3">
      <c r="A23" s="69"/>
      <c r="B23" s="69"/>
      <c r="D23" s="69"/>
      <c r="G23" s="69"/>
      <c r="H23" s="69"/>
      <c r="I23" s="69"/>
      <c r="J23" s="69"/>
      <c r="K23" s="69"/>
      <c r="L23" s="69"/>
      <c r="M23" s="69"/>
      <c r="N23" s="69"/>
      <c r="O23" s="69"/>
      <c r="P23" s="190" t="s">
        <v>2230</v>
      </c>
      <c r="Q23" s="190"/>
      <c r="R23" s="190"/>
      <c r="S23" s="190"/>
      <c r="T23" s="190"/>
      <c r="U23" s="190"/>
      <c r="V23" s="190"/>
      <c r="W23" s="190"/>
    </row>
    <row r="24" spans="1:23" x14ac:dyDescent="0.3">
      <c r="A24" s="69"/>
      <c r="B24" s="69"/>
      <c r="D24" s="69"/>
      <c r="G24" s="69"/>
      <c r="H24" s="69"/>
      <c r="I24" s="69"/>
      <c r="J24" s="69"/>
      <c r="K24" s="69"/>
      <c r="L24" s="69"/>
      <c r="M24" s="69"/>
      <c r="N24" s="69"/>
      <c r="O24" s="69"/>
      <c r="P24" s="69"/>
      <c r="Q24" s="69"/>
      <c r="R24" s="69"/>
      <c r="U24" s="69"/>
      <c r="V24" s="69"/>
      <c r="W24" s="69"/>
    </row>
    <row r="25" spans="1:23" x14ac:dyDescent="0.3">
      <c r="A25" s="69"/>
      <c r="B25" s="69"/>
      <c r="D25" s="69"/>
      <c r="G25" s="69"/>
      <c r="H25" s="69"/>
      <c r="I25" s="69"/>
      <c r="J25" s="69"/>
      <c r="K25" s="69"/>
      <c r="L25" s="69"/>
      <c r="M25" s="69"/>
      <c r="N25" s="69"/>
      <c r="O25" s="69"/>
      <c r="P25" s="69"/>
      <c r="Q25" s="69"/>
      <c r="R25" s="69"/>
      <c r="U25" s="69"/>
      <c r="V25" s="69"/>
      <c r="W25" s="69"/>
    </row>
    <row r="26" spans="1:23" x14ac:dyDescent="0.3">
      <c r="A26" s="69"/>
      <c r="B26" s="69"/>
      <c r="D26" s="69"/>
      <c r="G26" s="69"/>
      <c r="H26" s="69"/>
      <c r="I26" s="69"/>
      <c r="J26" s="69"/>
      <c r="K26" s="69"/>
      <c r="L26" s="69"/>
      <c r="M26" s="69"/>
      <c r="N26" s="69"/>
      <c r="O26" s="69"/>
      <c r="P26" s="69"/>
      <c r="Q26" s="69"/>
      <c r="R26" s="69"/>
      <c r="U26" s="69"/>
      <c r="V26" s="69"/>
      <c r="W26" s="69"/>
    </row>
    <row r="27" spans="1:23" x14ac:dyDescent="0.3">
      <c r="A27" s="69"/>
      <c r="B27" s="69"/>
      <c r="D27" s="69"/>
      <c r="G27" s="69"/>
      <c r="H27" s="69"/>
      <c r="I27" s="69"/>
      <c r="J27" s="69"/>
      <c r="K27" s="69"/>
      <c r="L27" s="69"/>
      <c r="M27" s="69"/>
      <c r="N27" s="69"/>
      <c r="O27" s="69"/>
      <c r="P27" s="69"/>
      <c r="Q27" s="69"/>
      <c r="R27" s="69"/>
      <c r="U27" s="69"/>
      <c r="V27" s="69"/>
      <c r="W27" s="69"/>
    </row>
    <row r="28" spans="1:23" x14ac:dyDescent="0.3">
      <c r="A28" s="69"/>
      <c r="B28" s="69"/>
      <c r="D28" s="69"/>
      <c r="G28" s="69"/>
      <c r="H28" s="69"/>
      <c r="I28" s="69"/>
      <c r="J28" s="69"/>
      <c r="K28" s="69"/>
      <c r="L28" s="69"/>
      <c r="M28" s="69"/>
      <c r="N28" s="69"/>
      <c r="O28" s="69"/>
      <c r="P28" s="69"/>
      <c r="Q28" s="69"/>
      <c r="R28" s="69"/>
      <c r="U28" s="69"/>
      <c r="V28" s="69"/>
      <c r="W28" s="69"/>
    </row>
    <row r="29" spans="1:23" x14ac:dyDescent="0.3">
      <c r="A29" s="69"/>
      <c r="B29" s="69"/>
      <c r="D29" s="69"/>
      <c r="G29" s="69"/>
      <c r="H29" s="69"/>
      <c r="I29" s="69"/>
      <c r="J29" s="69"/>
      <c r="K29" s="69"/>
      <c r="L29" s="69"/>
      <c r="M29" s="69"/>
      <c r="N29" s="69"/>
      <c r="O29" s="69"/>
      <c r="P29" s="69"/>
      <c r="Q29" s="69"/>
      <c r="R29" s="69"/>
      <c r="U29" s="69"/>
      <c r="V29" s="69"/>
      <c r="W29" s="69"/>
    </row>
    <row r="30" spans="1:23" x14ac:dyDescent="0.3">
      <c r="A30" s="69"/>
      <c r="B30" s="69"/>
      <c r="D30" s="69"/>
      <c r="G30" s="69"/>
      <c r="H30" s="69"/>
      <c r="I30" s="69"/>
      <c r="J30" s="69"/>
      <c r="K30" s="69"/>
      <c r="L30" s="69"/>
      <c r="M30" s="69"/>
      <c r="N30" s="69"/>
      <c r="O30" s="69"/>
      <c r="P30" s="69"/>
      <c r="Q30" s="69"/>
      <c r="R30" s="69"/>
      <c r="U30" s="69"/>
      <c r="V30" s="69"/>
      <c r="W30" s="69"/>
    </row>
    <row r="31" spans="1:23" x14ac:dyDescent="0.3">
      <c r="A31" s="69"/>
      <c r="B31" s="69"/>
      <c r="D31" s="69"/>
      <c r="G31" s="69"/>
      <c r="H31" s="69"/>
      <c r="I31" s="69"/>
      <c r="J31" s="69"/>
      <c r="K31" s="69"/>
      <c r="L31" s="69"/>
      <c r="M31" s="69"/>
      <c r="N31" s="69"/>
      <c r="O31" s="69"/>
      <c r="P31" s="69"/>
      <c r="Q31" s="69"/>
      <c r="R31" s="69"/>
      <c r="U31" s="69"/>
      <c r="V31" s="69"/>
      <c r="W31" s="69"/>
    </row>
    <row r="32" spans="1:23" x14ac:dyDescent="0.3">
      <c r="A32" s="69"/>
      <c r="B32" s="69"/>
      <c r="D32" s="69"/>
      <c r="G32" s="69"/>
      <c r="H32" s="69"/>
      <c r="I32" s="69"/>
      <c r="J32" s="69"/>
      <c r="K32" s="69"/>
      <c r="L32" s="69"/>
      <c r="M32" s="69"/>
      <c r="N32" s="69"/>
      <c r="O32" s="69"/>
      <c r="P32" s="69"/>
      <c r="Q32" s="69"/>
      <c r="R32" s="69"/>
      <c r="U32" s="69"/>
      <c r="V32" s="69"/>
      <c r="W32" s="69"/>
    </row>
    <row r="33" spans="3:3" s="69" customFormat="1" x14ac:dyDescent="0.3">
      <c r="C33" s="71"/>
    </row>
    <row r="34" spans="3:3" s="69" customFormat="1" x14ac:dyDescent="0.3">
      <c r="C34" s="71"/>
    </row>
    <row r="35" spans="3:3" s="69" customFormat="1" x14ac:dyDescent="0.3">
      <c r="C35" s="71"/>
    </row>
    <row r="36" spans="3:3" s="69" customFormat="1" x14ac:dyDescent="0.3">
      <c r="C36" s="71"/>
    </row>
    <row r="37" spans="3:3" s="69" customFormat="1" x14ac:dyDescent="0.3">
      <c r="C37" s="71"/>
    </row>
    <row r="38" spans="3:3" s="69" customFormat="1" x14ac:dyDescent="0.3">
      <c r="C38" s="71"/>
    </row>
    <row r="39" spans="3:3" s="69" customFormat="1" x14ac:dyDescent="0.3">
      <c r="C39" s="71"/>
    </row>
    <row r="40" spans="3:3" s="69" customFormat="1" x14ac:dyDescent="0.3">
      <c r="C40" s="71"/>
    </row>
    <row r="41" spans="3:3" s="69" customFormat="1" x14ac:dyDescent="0.3">
      <c r="C41" s="71"/>
    </row>
    <row r="42" spans="3:3" s="69" customFormat="1" x14ac:dyDescent="0.3">
      <c r="C42" s="71"/>
    </row>
    <row r="43" spans="3:3" s="69" customFormat="1" x14ac:dyDescent="0.3">
      <c r="C43" s="71"/>
    </row>
    <row r="44" spans="3:3" s="69" customFormat="1" x14ac:dyDescent="0.3">
      <c r="C44" s="71"/>
    </row>
    <row r="45" spans="3:3" s="69" customFormat="1" x14ac:dyDescent="0.3">
      <c r="C45" s="71"/>
    </row>
    <row r="46" spans="3:3" s="69" customFormat="1" x14ac:dyDescent="0.3">
      <c r="C46" s="71"/>
    </row>
    <row r="47" spans="3:3" s="69" customFormat="1" x14ac:dyDescent="0.3">
      <c r="C47" s="71"/>
    </row>
    <row r="48" spans="3:3" s="69" customFormat="1" x14ac:dyDescent="0.3">
      <c r="C48" s="71"/>
    </row>
    <row r="49" spans="3:3" s="69" customFormat="1" x14ac:dyDescent="0.3">
      <c r="C49" s="71"/>
    </row>
    <row r="50" spans="3:3" s="69" customFormat="1" x14ac:dyDescent="0.3">
      <c r="C50" s="71"/>
    </row>
    <row r="51" spans="3:3" s="69" customFormat="1" x14ac:dyDescent="0.3">
      <c r="C51" s="71"/>
    </row>
    <row r="52" spans="3:3" s="69" customFormat="1" x14ac:dyDescent="0.3">
      <c r="C52" s="71"/>
    </row>
    <row r="53" spans="3:3" s="69" customFormat="1" x14ac:dyDescent="0.3">
      <c r="C53" s="71"/>
    </row>
    <row r="54" spans="3:3" s="69" customFormat="1" x14ac:dyDescent="0.3">
      <c r="C54" s="71"/>
    </row>
    <row r="55" spans="3:3" s="69" customFormat="1" x14ac:dyDescent="0.3">
      <c r="C55" s="71"/>
    </row>
    <row r="56" spans="3:3" s="69" customFormat="1" x14ac:dyDescent="0.3">
      <c r="C56" s="71"/>
    </row>
    <row r="57" spans="3:3" s="69" customFormat="1" x14ac:dyDescent="0.3">
      <c r="C57" s="71"/>
    </row>
    <row r="58" spans="3:3" s="69" customFormat="1" x14ac:dyDescent="0.3">
      <c r="C58" s="71"/>
    </row>
    <row r="59" spans="3:3" s="69" customFormat="1" x14ac:dyDescent="0.3">
      <c r="C59" s="71"/>
    </row>
    <row r="60" spans="3:3" s="69" customFormat="1" x14ac:dyDescent="0.3">
      <c r="C60" s="71"/>
    </row>
    <row r="61" spans="3:3" s="69" customFormat="1" x14ac:dyDescent="0.3">
      <c r="C61" s="71"/>
    </row>
    <row r="62" spans="3:3" s="69" customFormat="1" x14ac:dyDescent="0.3">
      <c r="C62" s="71"/>
    </row>
    <row r="63" spans="3:3" s="69" customFormat="1" x14ac:dyDescent="0.3">
      <c r="C63" s="71"/>
    </row>
    <row r="64" spans="3:3" s="69" customFormat="1" x14ac:dyDescent="0.3">
      <c r="C64" s="71"/>
    </row>
    <row r="65" spans="3:3" s="69" customFormat="1" x14ac:dyDescent="0.3">
      <c r="C65" s="71"/>
    </row>
    <row r="66" spans="3:3" s="69" customFormat="1" x14ac:dyDescent="0.3">
      <c r="C66" s="71"/>
    </row>
    <row r="67" spans="3:3" s="69" customFormat="1" x14ac:dyDescent="0.3">
      <c r="C67" s="71"/>
    </row>
    <row r="68" spans="3:3" s="69" customFormat="1" x14ac:dyDescent="0.3">
      <c r="C68" s="71"/>
    </row>
    <row r="69" spans="3:3" s="69" customFormat="1" x14ac:dyDescent="0.3">
      <c r="C69" s="71"/>
    </row>
    <row r="70" spans="3:3" s="69" customFormat="1" x14ac:dyDescent="0.3">
      <c r="C70" s="71"/>
    </row>
    <row r="71" spans="3:3" s="69" customFormat="1" x14ac:dyDescent="0.3">
      <c r="C71" s="71"/>
    </row>
    <row r="72" spans="3:3" s="69" customFormat="1" x14ac:dyDescent="0.3">
      <c r="C72" s="71"/>
    </row>
    <row r="73" spans="3:3" s="69" customFormat="1" x14ac:dyDescent="0.3">
      <c r="C73" s="71"/>
    </row>
    <row r="74" spans="3:3" s="69" customFormat="1" x14ac:dyDescent="0.3">
      <c r="C74" s="71"/>
    </row>
    <row r="75" spans="3:3" s="69" customFormat="1" x14ac:dyDescent="0.3">
      <c r="C75" s="71"/>
    </row>
    <row r="76" spans="3:3" s="69" customFormat="1" x14ac:dyDescent="0.3">
      <c r="C76" s="71"/>
    </row>
    <row r="77" spans="3:3" s="69" customFormat="1" x14ac:dyDescent="0.3">
      <c r="C77" s="71"/>
    </row>
    <row r="78" spans="3:3" s="69" customFormat="1" x14ac:dyDescent="0.3">
      <c r="C78" s="71"/>
    </row>
    <row r="79" spans="3:3" s="69" customFormat="1" x14ac:dyDescent="0.3">
      <c r="C79" s="71"/>
    </row>
    <row r="80" spans="3:3" s="69" customFormat="1" x14ac:dyDescent="0.3">
      <c r="C80" s="71"/>
    </row>
    <row r="81" spans="3:3" s="69" customFormat="1" x14ac:dyDescent="0.3">
      <c r="C81" s="71"/>
    </row>
    <row r="82" spans="3:3" s="69" customFormat="1" x14ac:dyDescent="0.3">
      <c r="C82" s="71"/>
    </row>
    <row r="83" spans="3:3" s="69" customFormat="1" x14ac:dyDescent="0.3">
      <c r="C83" s="71"/>
    </row>
    <row r="84" spans="3:3" s="69" customFormat="1" x14ac:dyDescent="0.3">
      <c r="C84" s="71"/>
    </row>
    <row r="85" spans="3:3" s="69" customFormat="1" x14ac:dyDescent="0.3">
      <c r="C85" s="71"/>
    </row>
  </sheetData>
  <mergeCells count="2">
    <mergeCell ref="P22:T22"/>
    <mergeCell ref="P23:W23"/>
  </mergeCells>
  <pageMargins left="0.7" right="0.7" top="0.75" bottom="0.75" header="0.3" footer="0.3"/>
  <pageSetup paperSize="8" scale="37" fitToHeight="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9F2861-AA3E-4D75-8406-DBE0584144A9}">
  <sheetPr codeName="Sheet7">
    <pageSetUpPr fitToPage="1"/>
  </sheetPr>
  <dimension ref="A1:U4"/>
  <sheetViews>
    <sheetView workbookViewId="0"/>
  </sheetViews>
  <sheetFormatPr defaultColWidth="7" defaultRowHeight="18.75" x14ac:dyDescent="0.3"/>
  <cols>
    <col min="1" max="1" width="5.77734375" style="71" customWidth="1"/>
    <col min="2" max="2" width="52.6640625" style="65" customWidth="1"/>
    <col min="3" max="3" width="17.109375" style="1" customWidth="1"/>
    <col min="4" max="4" width="17.88671875" style="2" customWidth="1"/>
    <col min="5" max="5" width="35.5546875" style="2" customWidth="1"/>
    <col min="6" max="6" width="29.6640625" style="103" customWidth="1"/>
    <col min="7" max="13" width="12" style="82" hidden="1" customWidth="1"/>
    <col min="14" max="15" width="12.5546875" style="5" bestFit="1" customWidth="1"/>
    <col min="16" max="16" width="9.109375" style="5" bestFit="1" customWidth="1"/>
    <col min="17" max="17" width="24.21875" style="2" customWidth="1"/>
    <col min="18" max="18" width="11.5546875" style="2" customWidth="1"/>
    <col min="19" max="19" width="16.109375" style="5" bestFit="1" customWidth="1"/>
    <col min="20" max="20" width="13.109375" style="5" bestFit="1" customWidth="1"/>
    <col min="21" max="21" width="13.109375" style="1" bestFit="1" customWidth="1"/>
    <col min="22" max="246" width="7" style="2"/>
    <col min="247" max="247" width="4.109375" style="2" customWidth="1"/>
    <col min="248" max="248" width="3.6640625" style="2" customWidth="1"/>
    <col min="249" max="249" width="4.88671875" style="2" customWidth="1"/>
    <col min="250" max="250" width="10.33203125" style="2" customWidth="1"/>
    <col min="251" max="251" width="13.33203125" style="2" customWidth="1"/>
    <col min="252" max="252" width="5.5546875" style="2" customWidth="1"/>
    <col min="253" max="253" width="6.44140625" style="2" customWidth="1"/>
    <col min="254" max="254" width="11.6640625" style="2" customWidth="1"/>
    <col min="255" max="255" width="10.44140625" style="2" customWidth="1"/>
    <col min="256" max="256" width="13.44140625" style="2" customWidth="1"/>
    <col min="257" max="502" width="7" style="2"/>
    <col min="503" max="503" width="4.109375" style="2" customWidth="1"/>
    <col min="504" max="504" width="3.6640625" style="2" customWidth="1"/>
    <col min="505" max="505" width="4.88671875" style="2" customWidth="1"/>
    <col min="506" max="506" width="10.33203125" style="2" customWidth="1"/>
    <col min="507" max="507" width="13.33203125" style="2" customWidth="1"/>
    <col min="508" max="508" width="5.5546875" style="2" customWidth="1"/>
    <col min="509" max="509" width="6.44140625" style="2" customWidth="1"/>
    <col min="510" max="510" width="11.6640625" style="2" customWidth="1"/>
    <col min="511" max="511" width="10.44140625" style="2" customWidth="1"/>
    <col min="512" max="512" width="13.44140625" style="2" customWidth="1"/>
    <col min="513" max="758" width="7" style="2"/>
    <col min="759" max="759" width="4.109375" style="2" customWidth="1"/>
    <col min="760" max="760" width="3.6640625" style="2" customWidth="1"/>
    <col min="761" max="761" width="4.88671875" style="2" customWidth="1"/>
    <col min="762" max="762" width="10.33203125" style="2" customWidth="1"/>
    <col min="763" max="763" width="13.33203125" style="2" customWidth="1"/>
    <col min="764" max="764" width="5.5546875" style="2" customWidth="1"/>
    <col min="765" max="765" width="6.44140625" style="2" customWidth="1"/>
    <col min="766" max="766" width="11.6640625" style="2" customWidth="1"/>
    <col min="767" max="767" width="10.44140625" style="2" customWidth="1"/>
    <col min="768" max="768" width="13.44140625" style="2" customWidth="1"/>
    <col min="769" max="1014" width="7" style="2"/>
    <col min="1015" max="1015" width="4.109375" style="2" customWidth="1"/>
    <col min="1016" max="1016" width="3.6640625" style="2" customWidth="1"/>
    <col min="1017" max="1017" width="4.88671875" style="2" customWidth="1"/>
    <col min="1018" max="1018" width="10.33203125" style="2" customWidth="1"/>
    <col min="1019" max="1019" width="13.33203125" style="2" customWidth="1"/>
    <col min="1020" max="1020" width="5.5546875" style="2" customWidth="1"/>
    <col min="1021" max="1021" width="6.44140625" style="2" customWidth="1"/>
    <col min="1022" max="1022" width="11.6640625" style="2" customWidth="1"/>
    <col min="1023" max="1023" width="10.44140625" style="2" customWidth="1"/>
    <col min="1024" max="1024" width="13.44140625" style="2" customWidth="1"/>
    <col min="1025" max="1270" width="7" style="2"/>
    <col min="1271" max="1271" width="4.109375" style="2" customWidth="1"/>
    <col min="1272" max="1272" width="3.6640625" style="2" customWidth="1"/>
    <col min="1273" max="1273" width="4.88671875" style="2" customWidth="1"/>
    <col min="1274" max="1274" width="10.33203125" style="2" customWidth="1"/>
    <col min="1275" max="1275" width="13.33203125" style="2" customWidth="1"/>
    <col min="1276" max="1276" width="5.5546875" style="2" customWidth="1"/>
    <col min="1277" max="1277" width="6.44140625" style="2" customWidth="1"/>
    <col min="1278" max="1278" width="11.6640625" style="2" customWidth="1"/>
    <col min="1279" max="1279" width="10.44140625" style="2" customWidth="1"/>
    <col min="1280" max="1280" width="13.44140625" style="2" customWidth="1"/>
    <col min="1281" max="1526" width="7" style="2"/>
    <col min="1527" max="1527" width="4.109375" style="2" customWidth="1"/>
    <col min="1528" max="1528" width="3.6640625" style="2" customWidth="1"/>
    <col min="1529" max="1529" width="4.88671875" style="2" customWidth="1"/>
    <col min="1530" max="1530" width="10.33203125" style="2" customWidth="1"/>
    <col min="1531" max="1531" width="13.33203125" style="2" customWidth="1"/>
    <col min="1532" max="1532" width="5.5546875" style="2" customWidth="1"/>
    <col min="1533" max="1533" width="6.44140625" style="2" customWidth="1"/>
    <col min="1534" max="1534" width="11.6640625" style="2" customWidth="1"/>
    <col min="1535" max="1535" width="10.44140625" style="2" customWidth="1"/>
    <col min="1536" max="1536" width="13.44140625" style="2" customWidth="1"/>
    <col min="1537" max="1782" width="7" style="2"/>
    <col min="1783" max="1783" width="4.109375" style="2" customWidth="1"/>
    <col min="1784" max="1784" width="3.6640625" style="2" customWidth="1"/>
    <col min="1785" max="1785" width="4.88671875" style="2" customWidth="1"/>
    <col min="1786" max="1786" width="10.33203125" style="2" customWidth="1"/>
    <col min="1787" max="1787" width="13.33203125" style="2" customWidth="1"/>
    <col min="1788" max="1788" width="5.5546875" style="2" customWidth="1"/>
    <col min="1789" max="1789" width="6.44140625" style="2" customWidth="1"/>
    <col min="1790" max="1790" width="11.6640625" style="2" customWidth="1"/>
    <col min="1791" max="1791" width="10.44140625" style="2" customWidth="1"/>
    <col min="1792" max="1792" width="13.44140625" style="2" customWidth="1"/>
    <col min="1793" max="2038" width="7" style="2"/>
    <col min="2039" max="2039" width="4.109375" style="2" customWidth="1"/>
    <col min="2040" max="2040" width="3.6640625" style="2" customWidth="1"/>
    <col min="2041" max="2041" width="4.88671875" style="2" customWidth="1"/>
    <col min="2042" max="2042" width="10.33203125" style="2" customWidth="1"/>
    <col min="2043" max="2043" width="13.33203125" style="2" customWidth="1"/>
    <col min="2044" max="2044" width="5.5546875" style="2" customWidth="1"/>
    <col min="2045" max="2045" width="6.44140625" style="2" customWidth="1"/>
    <col min="2046" max="2046" width="11.6640625" style="2" customWidth="1"/>
    <col min="2047" max="2047" width="10.44140625" style="2" customWidth="1"/>
    <col min="2048" max="2048" width="13.44140625" style="2" customWidth="1"/>
    <col min="2049" max="2294" width="7" style="2"/>
    <col min="2295" max="2295" width="4.109375" style="2" customWidth="1"/>
    <col min="2296" max="2296" width="3.6640625" style="2" customWidth="1"/>
    <col min="2297" max="2297" width="4.88671875" style="2" customWidth="1"/>
    <col min="2298" max="2298" width="10.33203125" style="2" customWidth="1"/>
    <col min="2299" max="2299" width="13.33203125" style="2" customWidth="1"/>
    <col min="2300" max="2300" width="5.5546875" style="2" customWidth="1"/>
    <col min="2301" max="2301" width="6.44140625" style="2" customWidth="1"/>
    <col min="2302" max="2302" width="11.6640625" style="2" customWidth="1"/>
    <col min="2303" max="2303" width="10.44140625" style="2" customWidth="1"/>
    <col min="2304" max="2304" width="13.44140625" style="2" customWidth="1"/>
    <col min="2305" max="2550" width="7" style="2"/>
    <col min="2551" max="2551" width="4.109375" style="2" customWidth="1"/>
    <col min="2552" max="2552" width="3.6640625" style="2" customWidth="1"/>
    <col min="2553" max="2553" width="4.88671875" style="2" customWidth="1"/>
    <col min="2554" max="2554" width="10.33203125" style="2" customWidth="1"/>
    <col min="2555" max="2555" width="13.33203125" style="2" customWidth="1"/>
    <col min="2556" max="2556" width="5.5546875" style="2" customWidth="1"/>
    <col min="2557" max="2557" width="6.44140625" style="2" customWidth="1"/>
    <col min="2558" max="2558" width="11.6640625" style="2" customWidth="1"/>
    <col min="2559" max="2559" width="10.44140625" style="2" customWidth="1"/>
    <col min="2560" max="2560" width="13.44140625" style="2" customWidth="1"/>
    <col min="2561" max="2806" width="7" style="2"/>
    <col min="2807" max="2807" width="4.109375" style="2" customWidth="1"/>
    <col min="2808" max="2808" width="3.6640625" style="2" customWidth="1"/>
    <col min="2809" max="2809" width="4.88671875" style="2" customWidth="1"/>
    <col min="2810" max="2810" width="10.33203125" style="2" customWidth="1"/>
    <col min="2811" max="2811" width="13.33203125" style="2" customWidth="1"/>
    <col min="2812" max="2812" width="5.5546875" style="2" customWidth="1"/>
    <col min="2813" max="2813" width="6.44140625" style="2" customWidth="1"/>
    <col min="2814" max="2814" width="11.6640625" style="2" customWidth="1"/>
    <col min="2815" max="2815" width="10.44140625" style="2" customWidth="1"/>
    <col min="2816" max="2816" width="13.44140625" style="2" customWidth="1"/>
    <col min="2817" max="3062" width="7" style="2"/>
    <col min="3063" max="3063" width="4.109375" style="2" customWidth="1"/>
    <col min="3064" max="3064" width="3.6640625" style="2" customWidth="1"/>
    <col min="3065" max="3065" width="4.88671875" style="2" customWidth="1"/>
    <col min="3066" max="3066" width="10.33203125" style="2" customWidth="1"/>
    <col min="3067" max="3067" width="13.33203125" style="2" customWidth="1"/>
    <col min="3068" max="3068" width="5.5546875" style="2" customWidth="1"/>
    <col min="3069" max="3069" width="6.44140625" style="2" customWidth="1"/>
    <col min="3070" max="3070" width="11.6640625" style="2" customWidth="1"/>
    <col min="3071" max="3071" width="10.44140625" style="2" customWidth="1"/>
    <col min="3072" max="3072" width="13.44140625" style="2" customWidth="1"/>
    <col min="3073" max="3318" width="7" style="2"/>
    <col min="3319" max="3319" width="4.109375" style="2" customWidth="1"/>
    <col min="3320" max="3320" width="3.6640625" style="2" customWidth="1"/>
    <col min="3321" max="3321" width="4.88671875" style="2" customWidth="1"/>
    <col min="3322" max="3322" width="10.33203125" style="2" customWidth="1"/>
    <col min="3323" max="3323" width="13.33203125" style="2" customWidth="1"/>
    <col min="3324" max="3324" width="5.5546875" style="2" customWidth="1"/>
    <col min="3325" max="3325" width="6.44140625" style="2" customWidth="1"/>
    <col min="3326" max="3326" width="11.6640625" style="2" customWidth="1"/>
    <col min="3327" max="3327" width="10.44140625" style="2" customWidth="1"/>
    <col min="3328" max="3328" width="13.44140625" style="2" customWidth="1"/>
    <col min="3329" max="3574" width="7" style="2"/>
    <col min="3575" max="3575" width="4.109375" style="2" customWidth="1"/>
    <col min="3576" max="3576" width="3.6640625" style="2" customWidth="1"/>
    <col min="3577" max="3577" width="4.88671875" style="2" customWidth="1"/>
    <col min="3578" max="3578" width="10.33203125" style="2" customWidth="1"/>
    <col min="3579" max="3579" width="13.33203125" style="2" customWidth="1"/>
    <col min="3580" max="3580" width="5.5546875" style="2" customWidth="1"/>
    <col min="3581" max="3581" width="6.44140625" style="2" customWidth="1"/>
    <col min="3582" max="3582" width="11.6640625" style="2" customWidth="1"/>
    <col min="3583" max="3583" width="10.44140625" style="2" customWidth="1"/>
    <col min="3584" max="3584" width="13.44140625" style="2" customWidth="1"/>
    <col min="3585" max="3830" width="7" style="2"/>
    <col min="3831" max="3831" width="4.109375" style="2" customWidth="1"/>
    <col min="3832" max="3832" width="3.6640625" style="2" customWidth="1"/>
    <col min="3833" max="3833" width="4.88671875" style="2" customWidth="1"/>
    <col min="3834" max="3834" width="10.33203125" style="2" customWidth="1"/>
    <col min="3835" max="3835" width="13.33203125" style="2" customWidth="1"/>
    <col min="3836" max="3836" width="5.5546875" style="2" customWidth="1"/>
    <col min="3837" max="3837" width="6.44140625" style="2" customWidth="1"/>
    <col min="3838" max="3838" width="11.6640625" style="2" customWidth="1"/>
    <col min="3839" max="3839" width="10.44140625" style="2" customWidth="1"/>
    <col min="3840" max="3840" width="13.44140625" style="2" customWidth="1"/>
    <col min="3841" max="4086" width="7" style="2"/>
    <col min="4087" max="4087" width="4.109375" style="2" customWidth="1"/>
    <col min="4088" max="4088" width="3.6640625" style="2" customWidth="1"/>
    <col min="4089" max="4089" width="4.88671875" style="2" customWidth="1"/>
    <col min="4090" max="4090" width="10.33203125" style="2" customWidth="1"/>
    <col min="4091" max="4091" width="13.33203125" style="2" customWidth="1"/>
    <col min="4092" max="4092" width="5.5546875" style="2" customWidth="1"/>
    <col min="4093" max="4093" width="6.44140625" style="2" customWidth="1"/>
    <col min="4094" max="4094" width="11.6640625" style="2" customWidth="1"/>
    <col min="4095" max="4095" width="10.44140625" style="2" customWidth="1"/>
    <col min="4096" max="4096" width="13.44140625" style="2" customWidth="1"/>
    <col min="4097" max="4342" width="7" style="2"/>
    <col min="4343" max="4343" width="4.109375" style="2" customWidth="1"/>
    <col min="4344" max="4344" width="3.6640625" style="2" customWidth="1"/>
    <col min="4345" max="4345" width="4.88671875" style="2" customWidth="1"/>
    <col min="4346" max="4346" width="10.33203125" style="2" customWidth="1"/>
    <col min="4347" max="4347" width="13.33203125" style="2" customWidth="1"/>
    <col min="4348" max="4348" width="5.5546875" style="2" customWidth="1"/>
    <col min="4349" max="4349" width="6.44140625" style="2" customWidth="1"/>
    <col min="4350" max="4350" width="11.6640625" style="2" customWidth="1"/>
    <col min="4351" max="4351" width="10.44140625" style="2" customWidth="1"/>
    <col min="4352" max="4352" width="13.44140625" style="2" customWidth="1"/>
    <col min="4353" max="4598" width="7" style="2"/>
    <col min="4599" max="4599" width="4.109375" style="2" customWidth="1"/>
    <col min="4600" max="4600" width="3.6640625" style="2" customWidth="1"/>
    <col min="4601" max="4601" width="4.88671875" style="2" customWidth="1"/>
    <col min="4602" max="4602" width="10.33203125" style="2" customWidth="1"/>
    <col min="4603" max="4603" width="13.33203125" style="2" customWidth="1"/>
    <col min="4604" max="4604" width="5.5546875" style="2" customWidth="1"/>
    <col min="4605" max="4605" width="6.44140625" style="2" customWidth="1"/>
    <col min="4606" max="4606" width="11.6640625" style="2" customWidth="1"/>
    <col min="4607" max="4607" width="10.44140625" style="2" customWidth="1"/>
    <col min="4608" max="4608" width="13.44140625" style="2" customWidth="1"/>
    <col min="4609" max="4854" width="7" style="2"/>
    <col min="4855" max="4855" width="4.109375" style="2" customWidth="1"/>
    <col min="4856" max="4856" width="3.6640625" style="2" customWidth="1"/>
    <col min="4857" max="4857" width="4.88671875" style="2" customWidth="1"/>
    <col min="4858" max="4858" width="10.33203125" style="2" customWidth="1"/>
    <col min="4859" max="4859" width="13.33203125" style="2" customWidth="1"/>
    <col min="4860" max="4860" width="5.5546875" style="2" customWidth="1"/>
    <col min="4861" max="4861" width="6.44140625" style="2" customWidth="1"/>
    <col min="4862" max="4862" width="11.6640625" style="2" customWidth="1"/>
    <col min="4863" max="4863" width="10.44140625" style="2" customWidth="1"/>
    <col min="4864" max="4864" width="13.44140625" style="2" customWidth="1"/>
    <col min="4865" max="5110" width="7" style="2"/>
    <col min="5111" max="5111" width="4.109375" style="2" customWidth="1"/>
    <col min="5112" max="5112" width="3.6640625" style="2" customWidth="1"/>
    <col min="5113" max="5113" width="4.88671875" style="2" customWidth="1"/>
    <col min="5114" max="5114" width="10.33203125" style="2" customWidth="1"/>
    <col min="5115" max="5115" width="13.33203125" style="2" customWidth="1"/>
    <col min="5116" max="5116" width="5.5546875" style="2" customWidth="1"/>
    <col min="5117" max="5117" width="6.44140625" style="2" customWidth="1"/>
    <col min="5118" max="5118" width="11.6640625" style="2" customWidth="1"/>
    <col min="5119" max="5119" width="10.44140625" style="2" customWidth="1"/>
    <col min="5120" max="5120" width="13.44140625" style="2" customWidth="1"/>
    <col min="5121" max="5366" width="7" style="2"/>
    <col min="5367" max="5367" width="4.109375" style="2" customWidth="1"/>
    <col min="5368" max="5368" width="3.6640625" style="2" customWidth="1"/>
    <col min="5369" max="5369" width="4.88671875" style="2" customWidth="1"/>
    <col min="5370" max="5370" width="10.33203125" style="2" customWidth="1"/>
    <col min="5371" max="5371" width="13.33203125" style="2" customWidth="1"/>
    <col min="5372" max="5372" width="5.5546875" style="2" customWidth="1"/>
    <col min="5373" max="5373" width="6.44140625" style="2" customWidth="1"/>
    <col min="5374" max="5374" width="11.6640625" style="2" customWidth="1"/>
    <col min="5375" max="5375" width="10.44140625" style="2" customWidth="1"/>
    <col min="5376" max="5376" width="13.44140625" style="2" customWidth="1"/>
    <col min="5377" max="5622" width="7" style="2"/>
    <col min="5623" max="5623" width="4.109375" style="2" customWidth="1"/>
    <col min="5624" max="5624" width="3.6640625" style="2" customWidth="1"/>
    <col min="5625" max="5625" width="4.88671875" style="2" customWidth="1"/>
    <col min="5626" max="5626" width="10.33203125" style="2" customWidth="1"/>
    <col min="5627" max="5627" width="13.33203125" style="2" customWidth="1"/>
    <col min="5628" max="5628" width="5.5546875" style="2" customWidth="1"/>
    <col min="5629" max="5629" width="6.44140625" style="2" customWidth="1"/>
    <col min="5630" max="5630" width="11.6640625" style="2" customWidth="1"/>
    <col min="5631" max="5631" width="10.44140625" style="2" customWidth="1"/>
    <col min="5632" max="5632" width="13.44140625" style="2" customWidth="1"/>
    <col min="5633" max="5878" width="7" style="2"/>
    <col min="5879" max="5879" width="4.109375" style="2" customWidth="1"/>
    <col min="5880" max="5880" width="3.6640625" style="2" customWidth="1"/>
    <col min="5881" max="5881" width="4.88671875" style="2" customWidth="1"/>
    <col min="5882" max="5882" width="10.33203125" style="2" customWidth="1"/>
    <col min="5883" max="5883" width="13.33203125" style="2" customWidth="1"/>
    <col min="5884" max="5884" width="5.5546875" style="2" customWidth="1"/>
    <col min="5885" max="5885" width="6.44140625" style="2" customWidth="1"/>
    <col min="5886" max="5886" width="11.6640625" style="2" customWidth="1"/>
    <col min="5887" max="5887" width="10.44140625" style="2" customWidth="1"/>
    <col min="5888" max="5888" width="13.44140625" style="2" customWidth="1"/>
    <col min="5889" max="6134" width="7" style="2"/>
    <col min="6135" max="6135" width="4.109375" style="2" customWidth="1"/>
    <col min="6136" max="6136" width="3.6640625" style="2" customWidth="1"/>
    <col min="6137" max="6137" width="4.88671875" style="2" customWidth="1"/>
    <col min="6138" max="6138" width="10.33203125" style="2" customWidth="1"/>
    <col min="6139" max="6139" width="13.33203125" style="2" customWidth="1"/>
    <col min="6140" max="6140" width="5.5546875" style="2" customWidth="1"/>
    <col min="6141" max="6141" width="6.44140625" style="2" customWidth="1"/>
    <col min="6142" max="6142" width="11.6640625" style="2" customWidth="1"/>
    <col min="6143" max="6143" width="10.44140625" style="2" customWidth="1"/>
    <col min="6144" max="6144" width="13.44140625" style="2" customWidth="1"/>
    <col min="6145" max="6390" width="7" style="2"/>
    <col min="6391" max="6391" width="4.109375" style="2" customWidth="1"/>
    <col min="6392" max="6392" width="3.6640625" style="2" customWidth="1"/>
    <col min="6393" max="6393" width="4.88671875" style="2" customWidth="1"/>
    <col min="6394" max="6394" width="10.33203125" style="2" customWidth="1"/>
    <col min="6395" max="6395" width="13.33203125" style="2" customWidth="1"/>
    <col min="6396" max="6396" width="5.5546875" style="2" customWidth="1"/>
    <col min="6397" max="6397" width="6.44140625" style="2" customWidth="1"/>
    <col min="6398" max="6398" width="11.6640625" style="2" customWidth="1"/>
    <col min="6399" max="6399" width="10.44140625" style="2" customWidth="1"/>
    <col min="6400" max="6400" width="13.44140625" style="2" customWidth="1"/>
    <col min="6401" max="6646" width="7" style="2"/>
    <col min="6647" max="6647" width="4.109375" style="2" customWidth="1"/>
    <col min="6648" max="6648" width="3.6640625" style="2" customWidth="1"/>
    <col min="6649" max="6649" width="4.88671875" style="2" customWidth="1"/>
    <col min="6650" max="6650" width="10.33203125" style="2" customWidth="1"/>
    <col min="6651" max="6651" width="13.33203125" style="2" customWidth="1"/>
    <col min="6652" max="6652" width="5.5546875" style="2" customWidth="1"/>
    <col min="6653" max="6653" width="6.44140625" style="2" customWidth="1"/>
    <col min="6654" max="6654" width="11.6640625" style="2" customWidth="1"/>
    <col min="6655" max="6655" width="10.44140625" style="2" customWidth="1"/>
    <col min="6656" max="6656" width="13.44140625" style="2" customWidth="1"/>
    <col min="6657" max="6902" width="7" style="2"/>
    <col min="6903" max="6903" width="4.109375" style="2" customWidth="1"/>
    <col min="6904" max="6904" width="3.6640625" style="2" customWidth="1"/>
    <col min="6905" max="6905" width="4.88671875" style="2" customWidth="1"/>
    <col min="6906" max="6906" width="10.33203125" style="2" customWidth="1"/>
    <col min="6907" max="6907" width="13.33203125" style="2" customWidth="1"/>
    <col min="6908" max="6908" width="5.5546875" style="2" customWidth="1"/>
    <col min="6909" max="6909" width="6.44140625" style="2" customWidth="1"/>
    <col min="6910" max="6910" width="11.6640625" style="2" customWidth="1"/>
    <col min="6911" max="6911" width="10.44140625" style="2" customWidth="1"/>
    <col min="6912" max="6912" width="13.44140625" style="2" customWidth="1"/>
    <col min="6913" max="7158" width="7" style="2"/>
    <col min="7159" max="7159" width="4.109375" style="2" customWidth="1"/>
    <col min="7160" max="7160" width="3.6640625" style="2" customWidth="1"/>
    <col min="7161" max="7161" width="4.88671875" style="2" customWidth="1"/>
    <col min="7162" max="7162" width="10.33203125" style="2" customWidth="1"/>
    <col min="7163" max="7163" width="13.33203125" style="2" customWidth="1"/>
    <col min="7164" max="7164" width="5.5546875" style="2" customWidth="1"/>
    <col min="7165" max="7165" width="6.44140625" style="2" customWidth="1"/>
    <col min="7166" max="7166" width="11.6640625" style="2" customWidth="1"/>
    <col min="7167" max="7167" width="10.44140625" style="2" customWidth="1"/>
    <col min="7168" max="7168" width="13.44140625" style="2" customWidth="1"/>
    <col min="7169" max="7414" width="7" style="2"/>
    <col min="7415" max="7415" width="4.109375" style="2" customWidth="1"/>
    <col min="7416" max="7416" width="3.6640625" style="2" customWidth="1"/>
    <col min="7417" max="7417" width="4.88671875" style="2" customWidth="1"/>
    <col min="7418" max="7418" width="10.33203125" style="2" customWidth="1"/>
    <col min="7419" max="7419" width="13.33203125" style="2" customWidth="1"/>
    <col min="7420" max="7420" width="5.5546875" style="2" customWidth="1"/>
    <col min="7421" max="7421" width="6.44140625" style="2" customWidth="1"/>
    <col min="7422" max="7422" width="11.6640625" style="2" customWidth="1"/>
    <col min="7423" max="7423" width="10.44140625" style="2" customWidth="1"/>
    <col min="7424" max="7424" width="13.44140625" style="2" customWidth="1"/>
    <col min="7425" max="7670" width="7" style="2"/>
    <col min="7671" max="7671" width="4.109375" style="2" customWidth="1"/>
    <col min="7672" max="7672" width="3.6640625" style="2" customWidth="1"/>
    <col min="7673" max="7673" width="4.88671875" style="2" customWidth="1"/>
    <col min="7674" max="7674" width="10.33203125" style="2" customWidth="1"/>
    <col min="7675" max="7675" width="13.33203125" style="2" customWidth="1"/>
    <col min="7676" max="7676" width="5.5546875" style="2" customWidth="1"/>
    <col min="7677" max="7677" width="6.44140625" style="2" customWidth="1"/>
    <col min="7678" max="7678" width="11.6640625" style="2" customWidth="1"/>
    <col min="7679" max="7679" width="10.44140625" style="2" customWidth="1"/>
    <col min="7680" max="7680" width="13.44140625" style="2" customWidth="1"/>
    <col min="7681" max="7926" width="7" style="2"/>
    <col min="7927" max="7927" width="4.109375" style="2" customWidth="1"/>
    <col min="7928" max="7928" width="3.6640625" style="2" customWidth="1"/>
    <col min="7929" max="7929" width="4.88671875" style="2" customWidth="1"/>
    <col min="7930" max="7930" width="10.33203125" style="2" customWidth="1"/>
    <col min="7931" max="7931" width="13.33203125" style="2" customWidth="1"/>
    <col min="7932" max="7932" width="5.5546875" style="2" customWidth="1"/>
    <col min="7933" max="7933" width="6.44140625" style="2" customWidth="1"/>
    <col min="7934" max="7934" width="11.6640625" style="2" customWidth="1"/>
    <col min="7935" max="7935" width="10.44140625" style="2" customWidth="1"/>
    <col min="7936" max="7936" width="13.44140625" style="2" customWidth="1"/>
    <col min="7937" max="8182" width="7" style="2"/>
    <col min="8183" max="8183" width="4.109375" style="2" customWidth="1"/>
    <col min="8184" max="8184" width="3.6640625" style="2" customWidth="1"/>
    <col min="8185" max="8185" width="4.88671875" style="2" customWidth="1"/>
    <col min="8186" max="8186" width="10.33203125" style="2" customWidth="1"/>
    <col min="8187" max="8187" width="13.33203125" style="2" customWidth="1"/>
    <col min="8188" max="8188" width="5.5546875" style="2" customWidth="1"/>
    <col min="8189" max="8189" width="6.44140625" style="2" customWidth="1"/>
    <col min="8190" max="8190" width="11.6640625" style="2" customWidth="1"/>
    <col min="8191" max="8191" width="10.44140625" style="2" customWidth="1"/>
    <col min="8192" max="8192" width="13.44140625" style="2" customWidth="1"/>
    <col min="8193" max="8438" width="7" style="2"/>
    <col min="8439" max="8439" width="4.109375" style="2" customWidth="1"/>
    <col min="8440" max="8440" width="3.6640625" style="2" customWidth="1"/>
    <col min="8441" max="8441" width="4.88671875" style="2" customWidth="1"/>
    <col min="8442" max="8442" width="10.33203125" style="2" customWidth="1"/>
    <col min="8443" max="8443" width="13.33203125" style="2" customWidth="1"/>
    <col min="8444" max="8444" width="5.5546875" style="2" customWidth="1"/>
    <col min="8445" max="8445" width="6.44140625" style="2" customWidth="1"/>
    <col min="8446" max="8446" width="11.6640625" style="2" customWidth="1"/>
    <col min="8447" max="8447" width="10.44140625" style="2" customWidth="1"/>
    <col min="8448" max="8448" width="13.44140625" style="2" customWidth="1"/>
    <col min="8449" max="8694" width="7" style="2"/>
    <col min="8695" max="8695" width="4.109375" style="2" customWidth="1"/>
    <col min="8696" max="8696" width="3.6640625" style="2" customWidth="1"/>
    <col min="8697" max="8697" width="4.88671875" style="2" customWidth="1"/>
    <col min="8698" max="8698" width="10.33203125" style="2" customWidth="1"/>
    <col min="8699" max="8699" width="13.33203125" style="2" customWidth="1"/>
    <col min="8700" max="8700" width="5.5546875" style="2" customWidth="1"/>
    <col min="8701" max="8701" width="6.44140625" style="2" customWidth="1"/>
    <col min="8702" max="8702" width="11.6640625" style="2" customWidth="1"/>
    <col min="8703" max="8703" width="10.44140625" style="2" customWidth="1"/>
    <col min="8704" max="8704" width="13.44140625" style="2" customWidth="1"/>
    <col min="8705" max="8950" width="7" style="2"/>
    <col min="8951" max="8951" width="4.109375" style="2" customWidth="1"/>
    <col min="8952" max="8952" width="3.6640625" style="2" customWidth="1"/>
    <col min="8953" max="8953" width="4.88671875" style="2" customWidth="1"/>
    <col min="8954" max="8954" width="10.33203125" style="2" customWidth="1"/>
    <col min="8955" max="8955" width="13.33203125" style="2" customWidth="1"/>
    <col min="8956" max="8956" width="5.5546875" style="2" customWidth="1"/>
    <col min="8957" max="8957" width="6.44140625" style="2" customWidth="1"/>
    <col min="8958" max="8958" width="11.6640625" style="2" customWidth="1"/>
    <col min="8959" max="8959" width="10.44140625" style="2" customWidth="1"/>
    <col min="8960" max="8960" width="13.44140625" style="2" customWidth="1"/>
    <col min="8961" max="9206" width="7" style="2"/>
    <col min="9207" max="9207" width="4.109375" style="2" customWidth="1"/>
    <col min="9208" max="9208" width="3.6640625" style="2" customWidth="1"/>
    <col min="9209" max="9209" width="4.88671875" style="2" customWidth="1"/>
    <col min="9210" max="9210" width="10.33203125" style="2" customWidth="1"/>
    <col min="9211" max="9211" width="13.33203125" style="2" customWidth="1"/>
    <col min="9212" max="9212" width="5.5546875" style="2" customWidth="1"/>
    <col min="9213" max="9213" width="6.44140625" style="2" customWidth="1"/>
    <col min="9214" max="9214" width="11.6640625" style="2" customWidth="1"/>
    <col min="9215" max="9215" width="10.44140625" style="2" customWidth="1"/>
    <col min="9216" max="9216" width="13.44140625" style="2" customWidth="1"/>
    <col min="9217" max="9462" width="7" style="2"/>
    <col min="9463" max="9463" width="4.109375" style="2" customWidth="1"/>
    <col min="9464" max="9464" width="3.6640625" style="2" customWidth="1"/>
    <col min="9465" max="9465" width="4.88671875" style="2" customWidth="1"/>
    <col min="9466" max="9466" width="10.33203125" style="2" customWidth="1"/>
    <col min="9467" max="9467" width="13.33203125" style="2" customWidth="1"/>
    <col min="9468" max="9468" width="5.5546875" style="2" customWidth="1"/>
    <col min="9469" max="9469" width="6.44140625" style="2" customWidth="1"/>
    <col min="9470" max="9470" width="11.6640625" style="2" customWidth="1"/>
    <col min="9471" max="9471" width="10.44140625" style="2" customWidth="1"/>
    <col min="9472" max="9472" width="13.44140625" style="2" customWidth="1"/>
    <col min="9473" max="9718" width="7" style="2"/>
    <col min="9719" max="9719" width="4.109375" style="2" customWidth="1"/>
    <col min="9720" max="9720" width="3.6640625" style="2" customWidth="1"/>
    <col min="9721" max="9721" width="4.88671875" style="2" customWidth="1"/>
    <col min="9722" max="9722" width="10.33203125" style="2" customWidth="1"/>
    <col min="9723" max="9723" width="13.33203125" style="2" customWidth="1"/>
    <col min="9724" max="9724" width="5.5546875" style="2" customWidth="1"/>
    <col min="9725" max="9725" width="6.44140625" style="2" customWidth="1"/>
    <col min="9726" max="9726" width="11.6640625" style="2" customWidth="1"/>
    <col min="9727" max="9727" width="10.44140625" style="2" customWidth="1"/>
    <col min="9728" max="9728" width="13.44140625" style="2" customWidth="1"/>
    <col min="9729" max="9974" width="7" style="2"/>
    <col min="9975" max="9975" width="4.109375" style="2" customWidth="1"/>
    <col min="9976" max="9976" width="3.6640625" style="2" customWidth="1"/>
    <col min="9977" max="9977" width="4.88671875" style="2" customWidth="1"/>
    <col min="9978" max="9978" width="10.33203125" style="2" customWidth="1"/>
    <col min="9979" max="9979" width="13.33203125" style="2" customWidth="1"/>
    <col min="9980" max="9980" width="5.5546875" style="2" customWidth="1"/>
    <col min="9981" max="9981" width="6.44140625" style="2" customWidth="1"/>
    <col min="9982" max="9982" width="11.6640625" style="2" customWidth="1"/>
    <col min="9983" max="9983" width="10.44140625" style="2" customWidth="1"/>
    <col min="9984" max="9984" width="13.44140625" style="2" customWidth="1"/>
    <col min="9985" max="10230" width="7" style="2"/>
    <col min="10231" max="10231" width="4.109375" style="2" customWidth="1"/>
    <col min="10232" max="10232" width="3.6640625" style="2" customWidth="1"/>
    <col min="10233" max="10233" width="4.88671875" style="2" customWidth="1"/>
    <col min="10234" max="10234" width="10.33203125" style="2" customWidth="1"/>
    <col min="10235" max="10235" width="13.33203125" style="2" customWidth="1"/>
    <col min="10236" max="10236" width="5.5546875" style="2" customWidth="1"/>
    <col min="10237" max="10237" width="6.44140625" style="2" customWidth="1"/>
    <col min="10238" max="10238" width="11.6640625" style="2" customWidth="1"/>
    <col min="10239" max="10239" width="10.44140625" style="2" customWidth="1"/>
    <col min="10240" max="10240" width="13.44140625" style="2" customWidth="1"/>
    <col min="10241" max="10486" width="7" style="2"/>
    <col min="10487" max="10487" width="4.109375" style="2" customWidth="1"/>
    <col min="10488" max="10488" width="3.6640625" style="2" customWidth="1"/>
    <col min="10489" max="10489" width="4.88671875" style="2" customWidth="1"/>
    <col min="10490" max="10490" width="10.33203125" style="2" customWidth="1"/>
    <col min="10491" max="10491" width="13.33203125" style="2" customWidth="1"/>
    <col min="10492" max="10492" width="5.5546875" style="2" customWidth="1"/>
    <col min="10493" max="10493" width="6.44140625" style="2" customWidth="1"/>
    <col min="10494" max="10494" width="11.6640625" style="2" customWidth="1"/>
    <col min="10495" max="10495" width="10.44140625" style="2" customWidth="1"/>
    <col min="10496" max="10496" width="13.44140625" style="2" customWidth="1"/>
    <col min="10497" max="10742" width="7" style="2"/>
    <col min="10743" max="10743" width="4.109375" style="2" customWidth="1"/>
    <col min="10744" max="10744" width="3.6640625" style="2" customWidth="1"/>
    <col min="10745" max="10745" width="4.88671875" style="2" customWidth="1"/>
    <col min="10746" max="10746" width="10.33203125" style="2" customWidth="1"/>
    <col min="10747" max="10747" width="13.33203125" style="2" customWidth="1"/>
    <col min="10748" max="10748" width="5.5546875" style="2" customWidth="1"/>
    <col min="10749" max="10749" width="6.44140625" style="2" customWidth="1"/>
    <col min="10750" max="10750" width="11.6640625" style="2" customWidth="1"/>
    <col min="10751" max="10751" width="10.44140625" style="2" customWidth="1"/>
    <col min="10752" max="10752" width="13.44140625" style="2" customWidth="1"/>
    <col min="10753" max="10998" width="7" style="2"/>
    <col min="10999" max="10999" width="4.109375" style="2" customWidth="1"/>
    <col min="11000" max="11000" width="3.6640625" style="2" customWidth="1"/>
    <col min="11001" max="11001" width="4.88671875" style="2" customWidth="1"/>
    <col min="11002" max="11002" width="10.33203125" style="2" customWidth="1"/>
    <col min="11003" max="11003" width="13.33203125" style="2" customWidth="1"/>
    <col min="11004" max="11004" width="5.5546875" style="2" customWidth="1"/>
    <col min="11005" max="11005" width="6.44140625" style="2" customWidth="1"/>
    <col min="11006" max="11006" width="11.6640625" style="2" customWidth="1"/>
    <col min="11007" max="11007" width="10.44140625" style="2" customWidth="1"/>
    <col min="11008" max="11008" width="13.44140625" style="2" customWidth="1"/>
    <col min="11009" max="11254" width="7" style="2"/>
    <col min="11255" max="11255" width="4.109375" style="2" customWidth="1"/>
    <col min="11256" max="11256" width="3.6640625" style="2" customWidth="1"/>
    <col min="11257" max="11257" width="4.88671875" style="2" customWidth="1"/>
    <col min="11258" max="11258" width="10.33203125" style="2" customWidth="1"/>
    <col min="11259" max="11259" width="13.33203125" style="2" customWidth="1"/>
    <col min="11260" max="11260" width="5.5546875" style="2" customWidth="1"/>
    <col min="11261" max="11261" width="6.44140625" style="2" customWidth="1"/>
    <col min="11262" max="11262" width="11.6640625" style="2" customWidth="1"/>
    <col min="11263" max="11263" width="10.44140625" style="2" customWidth="1"/>
    <col min="11264" max="11264" width="13.44140625" style="2" customWidth="1"/>
    <col min="11265" max="11510" width="7" style="2"/>
    <col min="11511" max="11511" width="4.109375" style="2" customWidth="1"/>
    <col min="11512" max="11512" width="3.6640625" style="2" customWidth="1"/>
    <col min="11513" max="11513" width="4.88671875" style="2" customWidth="1"/>
    <col min="11514" max="11514" width="10.33203125" style="2" customWidth="1"/>
    <col min="11515" max="11515" width="13.33203125" style="2" customWidth="1"/>
    <col min="11516" max="11516" width="5.5546875" style="2" customWidth="1"/>
    <col min="11517" max="11517" width="6.44140625" style="2" customWidth="1"/>
    <col min="11518" max="11518" width="11.6640625" style="2" customWidth="1"/>
    <col min="11519" max="11519" width="10.44140625" style="2" customWidth="1"/>
    <col min="11520" max="11520" width="13.44140625" style="2" customWidth="1"/>
    <col min="11521" max="11766" width="7" style="2"/>
    <col min="11767" max="11767" width="4.109375" style="2" customWidth="1"/>
    <col min="11768" max="11768" width="3.6640625" style="2" customWidth="1"/>
    <col min="11769" max="11769" width="4.88671875" style="2" customWidth="1"/>
    <col min="11770" max="11770" width="10.33203125" style="2" customWidth="1"/>
    <col min="11771" max="11771" width="13.33203125" style="2" customWidth="1"/>
    <col min="11772" max="11772" width="5.5546875" style="2" customWidth="1"/>
    <col min="11773" max="11773" width="6.44140625" style="2" customWidth="1"/>
    <col min="11774" max="11774" width="11.6640625" style="2" customWidth="1"/>
    <col min="11775" max="11775" width="10.44140625" style="2" customWidth="1"/>
    <col min="11776" max="11776" width="13.44140625" style="2" customWidth="1"/>
    <col min="11777" max="12022" width="7" style="2"/>
    <col min="12023" max="12023" width="4.109375" style="2" customWidth="1"/>
    <col min="12024" max="12024" width="3.6640625" style="2" customWidth="1"/>
    <col min="12025" max="12025" width="4.88671875" style="2" customWidth="1"/>
    <col min="12026" max="12026" width="10.33203125" style="2" customWidth="1"/>
    <col min="12027" max="12027" width="13.33203125" style="2" customWidth="1"/>
    <col min="12028" max="12028" width="5.5546875" style="2" customWidth="1"/>
    <col min="12029" max="12029" width="6.44140625" style="2" customWidth="1"/>
    <col min="12030" max="12030" width="11.6640625" style="2" customWidth="1"/>
    <col min="12031" max="12031" width="10.44140625" style="2" customWidth="1"/>
    <col min="12032" max="12032" width="13.44140625" style="2" customWidth="1"/>
    <col min="12033" max="12278" width="7" style="2"/>
    <col min="12279" max="12279" width="4.109375" style="2" customWidth="1"/>
    <col min="12280" max="12280" width="3.6640625" style="2" customWidth="1"/>
    <col min="12281" max="12281" width="4.88671875" style="2" customWidth="1"/>
    <col min="12282" max="12282" width="10.33203125" style="2" customWidth="1"/>
    <col min="12283" max="12283" width="13.33203125" style="2" customWidth="1"/>
    <col min="12284" max="12284" width="5.5546875" style="2" customWidth="1"/>
    <col min="12285" max="12285" width="6.44140625" style="2" customWidth="1"/>
    <col min="12286" max="12286" width="11.6640625" style="2" customWidth="1"/>
    <col min="12287" max="12287" width="10.44140625" style="2" customWidth="1"/>
    <col min="12288" max="12288" width="13.44140625" style="2" customWidth="1"/>
    <col min="12289" max="12534" width="7" style="2"/>
    <col min="12535" max="12535" width="4.109375" style="2" customWidth="1"/>
    <col min="12536" max="12536" width="3.6640625" style="2" customWidth="1"/>
    <col min="12537" max="12537" width="4.88671875" style="2" customWidth="1"/>
    <col min="12538" max="12538" width="10.33203125" style="2" customWidth="1"/>
    <col min="12539" max="12539" width="13.33203125" style="2" customWidth="1"/>
    <col min="12540" max="12540" width="5.5546875" style="2" customWidth="1"/>
    <col min="12541" max="12541" width="6.44140625" style="2" customWidth="1"/>
    <col min="12542" max="12542" width="11.6640625" style="2" customWidth="1"/>
    <col min="12543" max="12543" width="10.44140625" style="2" customWidth="1"/>
    <col min="12544" max="12544" width="13.44140625" style="2" customWidth="1"/>
    <col min="12545" max="12790" width="7" style="2"/>
    <col min="12791" max="12791" width="4.109375" style="2" customWidth="1"/>
    <col min="12792" max="12792" width="3.6640625" style="2" customWidth="1"/>
    <col min="12793" max="12793" width="4.88671875" style="2" customWidth="1"/>
    <col min="12794" max="12794" width="10.33203125" style="2" customWidth="1"/>
    <col min="12795" max="12795" width="13.33203125" style="2" customWidth="1"/>
    <col min="12796" max="12796" width="5.5546875" style="2" customWidth="1"/>
    <col min="12797" max="12797" width="6.44140625" style="2" customWidth="1"/>
    <col min="12798" max="12798" width="11.6640625" style="2" customWidth="1"/>
    <col min="12799" max="12799" width="10.44140625" style="2" customWidth="1"/>
    <col min="12800" max="12800" width="13.44140625" style="2" customWidth="1"/>
    <col min="12801" max="13046" width="7" style="2"/>
    <col min="13047" max="13047" width="4.109375" style="2" customWidth="1"/>
    <col min="13048" max="13048" width="3.6640625" style="2" customWidth="1"/>
    <col min="13049" max="13049" width="4.88671875" style="2" customWidth="1"/>
    <col min="13050" max="13050" width="10.33203125" style="2" customWidth="1"/>
    <col min="13051" max="13051" width="13.33203125" style="2" customWidth="1"/>
    <col min="13052" max="13052" width="5.5546875" style="2" customWidth="1"/>
    <col min="13053" max="13053" width="6.44140625" style="2" customWidth="1"/>
    <col min="13054" max="13054" width="11.6640625" style="2" customWidth="1"/>
    <col min="13055" max="13055" width="10.44140625" style="2" customWidth="1"/>
    <col min="13056" max="13056" width="13.44140625" style="2" customWidth="1"/>
    <col min="13057" max="13302" width="7" style="2"/>
    <col min="13303" max="13303" width="4.109375" style="2" customWidth="1"/>
    <col min="13304" max="13304" width="3.6640625" style="2" customWidth="1"/>
    <col min="13305" max="13305" width="4.88671875" style="2" customWidth="1"/>
    <col min="13306" max="13306" width="10.33203125" style="2" customWidth="1"/>
    <col min="13307" max="13307" width="13.33203125" style="2" customWidth="1"/>
    <col min="13308" max="13308" width="5.5546875" style="2" customWidth="1"/>
    <col min="13309" max="13309" width="6.44140625" style="2" customWidth="1"/>
    <col min="13310" max="13310" width="11.6640625" style="2" customWidth="1"/>
    <col min="13311" max="13311" width="10.44140625" style="2" customWidth="1"/>
    <col min="13312" max="13312" width="13.44140625" style="2" customWidth="1"/>
    <col min="13313" max="13558" width="7" style="2"/>
    <col min="13559" max="13559" width="4.109375" style="2" customWidth="1"/>
    <col min="13560" max="13560" width="3.6640625" style="2" customWidth="1"/>
    <col min="13561" max="13561" width="4.88671875" style="2" customWidth="1"/>
    <col min="13562" max="13562" width="10.33203125" style="2" customWidth="1"/>
    <col min="13563" max="13563" width="13.33203125" style="2" customWidth="1"/>
    <col min="13564" max="13564" width="5.5546875" style="2" customWidth="1"/>
    <col min="13565" max="13565" width="6.44140625" style="2" customWidth="1"/>
    <col min="13566" max="13566" width="11.6640625" style="2" customWidth="1"/>
    <col min="13567" max="13567" width="10.44140625" style="2" customWidth="1"/>
    <col min="13568" max="13568" width="13.44140625" style="2" customWidth="1"/>
    <col min="13569" max="13814" width="7" style="2"/>
    <col min="13815" max="13815" width="4.109375" style="2" customWidth="1"/>
    <col min="13816" max="13816" width="3.6640625" style="2" customWidth="1"/>
    <col min="13817" max="13817" width="4.88671875" style="2" customWidth="1"/>
    <col min="13818" max="13818" width="10.33203125" style="2" customWidth="1"/>
    <col min="13819" max="13819" width="13.33203125" style="2" customWidth="1"/>
    <col min="13820" max="13820" width="5.5546875" style="2" customWidth="1"/>
    <col min="13821" max="13821" width="6.44140625" style="2" customWidth="1"/>
    <col min="13822" max="13822" width="11.6640625" style="2" customWidth="1"/>
    <col min="13823" max="13823" width="10.44140625" style="2" customWidth="1"/>
    <col min="13824" max="13824" width="13.44140625" style="2" customWidth="1"/>
    <col min="13825" max="14070" width="7" style="2"/>
    <col min="14071" max="14071" width="4.109375" style="2" customWidth="1"/>
    <col min="14072" max="14072" width="3.6640625" style="2" customWidth="1"/>
    <col min="14073" max="14073" width="4.88671875" style="2" customWidth="1"/>
    <col min="14074" max="14074" width="10.33203125" style="2" customWidth="1"/>
    <col min="14075" max="14075" width="13.33203125" style="2" customWidth="1"/>
    <col min="14076" max="14076" width="5.5546875" style="2" customWidth="1"/>
    <col min="14077" max="14077" width="6.44140625" style="2" customWidth="1"/>
    <col min="14078" max="14078" width="11.6640625" style="2" customWidth="1"/>
    <col min="14079" max="14079" width="10.44140625" style="2" customWidth="1"/>
    <col min="14080" max="14080" width="13.44140625" style="2" customWidth="1"/>
    <col min="14081" max="14326" width="7" style="2"/>
    <col min="14327" max="14327" width="4.109375" style="2" customWidth="1"/>
    <col min="14328" max="14328" width="3.6640625" style="2" customWidth="1"/>
    <col min="14329" max="14329" width="4.88671875" style="2" customWidth="1"/>
    <col min="14330" max="14330" width="10.33203125" style="2" customWidth="1"/>
    <col min="14331" max="14331" width="13.33203125" style="2" customWidth="1"/>
    <col min="14332" max="14332" width="5.5546875" style="2" customWidth="1"/>
    <col min="14333" max="14333" width="6.44140625" style="2" customWidth="1"/>
    <col min="14334" max="14334" width="11.6640625" style="2" customWidth="1"/>
    <col min="14335" max="14335" width="10.44140625" style="2" customWidth="1"/>
    <col min="14336" max="14336" width="13.44140625" style="2" customWidth="1"/>
    <col min="14337" max="14582" width="7" style="2"/>
    <col min="14583" max="14583" width="4.109375" style="2" customWidth="1"/>
    <col min="14584" max="14584" width="3.6640625" style="2" customWidth="1"/>
    <col min="14585" max="14585" width="4.88671875" style="2" customWidth="1"/>
    <col min="14586" max="14586" width="10.33203125" style="2" customWidth="1"/>
    <col min="14587" max="14587" width="13.33203125" style="2" customWidth="1"/>
    <col min="14588" max="14588" width="5.5546875" style="2" customWidth="1"/>
    <col min="14589" max="14589" width="6.44140625" style="2" customWidth="1"/>
    <col min="14590" max="14590" width="11.6640625" style="2" customWidth="1"/>
    <col min="14591" max="14591" width="10.44140625" style="2" customWidth="1"/>
    <col min="14592" max="14592" width="13.44140625" style="2" customWidth="1"/>
    <col min="14593" max="14838" width="7" style="2"/>
    <col min="14839" max="14839" width="4.109375" style="2" customWidth="1"/>
    <col min="14840" max="14840" width="3.6640625" style="2" customWidth="1"/>
    <col min="14841" max="14841" width="4.88671875" style="2" customWidth="1"/>
    <col min="14842" max="14842" width="10.33203125" style="2" customWidth="1"/>
    <col min="14843" max="14843" width="13.33203125" style="2" customWidth="1"/>
    <col min="14844" max="14844" width="5.5546875" style="2" customWidth="1"/>
    <col min="14845" max="14845" width="6.44140625" style="2" customWidth="1"/>
    <col min="14846" max="14846" width="11.6640625" style="2" customWidth="1"/>
    <col min="14847" max="14847" width="10.44140625" style="2" customWidth="1"/>
    <col min="14848" max="14848" width="13.44140625" style="2" customWidth="1"/>
    <col min="14849" max="15094" width="7" style="2"/>
    <col min="15095" max="15095" width="4.109375" style="2" customWidth="1"/>
    <col min="15096" max="15096" width="3.6640625" style="2" customWidth="1"/>
    <col min="15097" max="15097" width="4.88671875" style="2" customWidth="1"/>
    <col min="15098" max="15098" width="10.33203125" style="2" customWidth="1"/>
    <col min="15099" max="15099" width="13.33203125" style="2" customWidth="1"/>
    <col min="15100" max="15100" width="5.5546875" style="2" customWidth="1"/>
    <col min="15101" max="15101" width="6.44140625" style="2" customWidth="1"/>
    <col min="15102" max="15102" width="11.6640625" style="2" customWidth="1"/>
    <col min="15103" max="15103" width="10.44140625" style="2" customWidth="1"/>
    <col min="15104" max="15104" width="13.44140625" style="2" customWidth="1"/>
    <col min="15105" max="15350" width="7" style="2"/>
    <col min="15351" max="15351" width="4.109375" style="2" customWidth="1"/>
    <col min="15352" max="15352" width="3.6640625" style="2" customWidth="1"/>
    <col min="15353" max="15353" width="4.88671875" style="2" customWidth="1"/>
    <col min="15354" max="15354" width="10.33203125" style="2" customWidth="1"/>
    <col min="15355" max="15355" width="13.33203125" style="2" customWidth="1"/>
    <col min="15356" max="15356" width="5.5546875" style="2" customWidth="1"/>
    <col min="15357" max="15357" width="6.44140625" style="2" customWidth="1"/>
    <col min="15358" max="15358" width="11.6640625" style="2" customWidth="1"/>
    <col min="15359" max="15359" width="10.44140625" style="2" customWidth="1"/>
    <col min="15360" max="15360" width="13.44140625" style="2" customWidth="1"/>
    <col min="15361" max="15606" width="7" style="2"/>
    <col min="15607" max="15607" width="4.109375" style="2" customWidth="1"/>
    <col min="15608" max="15608" width="3.6640625" style="2" customWidth="1"/>
    <col min="15609" max="15609" width="4.88671875" style="2" customWidth="1"/>
    <col min="15610" max="15610" width="10.33203125" style="2" customWidth="1"/>
    <col min="15611" max="15611" width="13.33203125" style="2" customWidth="1"/>
    <col min="15612" max="15612" width="5.5546875" style="2" customWidth="1"/>
    <col min="15613" max="15613" width="6.44140625" style="2" customWidth="1"/>
    <col min="15614" max="15614" width="11.6640625" style="2" customWidth="1"/>
    <col min="15615" max="15615" width="10.44140625" style="2" customWidth="1"/>
    <col min="15616" max="15616" width="13.44140625" style="2" customWidth="1"/>
    <col min="15617" max="15862" width="7" style="2"/>
    <col min="15863" max="15863" width="4.109375" style="2" customWidth="1"/>
    <col min="15864" max="15864" width="3.6640625" style="2" customWidth="1"/>
    <col min="15865" max="15865" width="4.88671875" style="2" customWidth="1"/>
    <col min="15866" max="15866" width="10.33203125" style="2" customWidth="1"/>
    <col min="15867" max="15867" width="13.33203125" style="2" customWidth="1"/>
    <col min="15868" max="15868" width="5.5546875" style="2" customWidth="1"/>
    <col min="15869" max="15869" width="6.44140625" style="2" customWidth="1"/>
    <col min="15870" max="15870" width="11.6640625" style="2" customWidth="1"/>
    <col min="15871" max="15871" width="10.44140625" style="2" customWidth="1"/>
    <col min="15872" max="15872" width="13.44140625" style="2" customWidth="1"/>
    <col min="15873" max="16118" width="7" style="2"/>
    <col min="16119" max="16119" width="4.109375" style="2" customWidth="1"/>
    <col min="16120" max="16120" width="3.6640625" style="2" customWidth="1"/>
    <col min="16121" max="16121" width="4.88671875" style="2" customWidth="1"/>
    <col min="16122" max="16122" width="10.33203125" style="2" customWidth="1"/>
    <col min="16123" max="16123" width="13.33203125" style="2" customWidth="1"/>
    <col min="16124" max="16124" width="5.5546875" style="2" customWidth="1"/>
    <col min="16125" max="16125" width="6.44140625" style="2" customWidth="1"/>
    <col min="16126" max="16126" width="11.6640625" style="2" customWidth="1"/>
    <col min="16127" max="16127" width="10.44140625" style="2" customWidth="1"/>
    <col min="16128" max="16128" width="13.44140625" style="2" customWidth="1"/>
    <col min="16129" max="16384" width="7" style="2"/>
  </cols>
  <sheetData>
    <row r="1" spans="1:21" x14ac:dyDescent="0.3">
      <c r="A1" s="85" t="s">
        <v>0</v>
      </c>
      <c r="B1" s="85" t="s">
        <v>61</v>
      </c>
      <c r="C1" s="86" t="s">
        <v>1733</v>
      </c>
      <c r="D1" s="86" t="s">
        <v>1</v>
      </c>
      <c r="E1" s="86" t="s">
        <v>45</v>
      </c>
      <c r="F1" s="102" t="s">
        <v>58</v>
      </c>
      <c r="G1" s="87" t="s">
        <v>756</v>
      </c>
      <c r="H1" s="87" t="s">
        <v>759</v>
      </c>
      <c r="I1" s="87" t="s">
        <v>760</v>
      </c>
      <c r="J1" s="87" t="s">
        <v>761</v>
      </c>
      <c r="K1" s="87" t="s">
        <v>774</v>
      </c>
      <c r="L1" s="87" t="s">
        <v>776</v>
      </c>
      <c r="M1" s="87" t="s">
        <v>778</v>
      </c>
      <c r="N1" s="86" t="s">
        <v>817</v>
      </c>
      <c r="O1" s="86" t="s">
        <v>1121</v>
      </c>
      <c r="P1" s="86" t="s">
        <v>1149</v>
      </c>
      <c r="Q1" s="86" t="s">
        <v>2</v>
      </c>
      <c r="R1" s="86" t="s">
        <v>57</v>
      </c>
      <c r="S1" s="88" t="s">
        <v>1148</v>
      </c>
      <c r="T1" s="86" t="s">
        <v>54</v>
      </c>
      <c r="U1" s="145" t="s">
        <v>1734</v>
      </c>
    </row>
    <row r="2" spans="1:21" s="4" customFormat="1" ht="37.5" x14ac:dyDescent="0.3">
      <c r="A2" s="35">
        <v>1</v>
      </c>
      <c r="B2" s="90" t="s">
        <v>65</v>
      </c>
      <c r="C2" s="90" t="s">
        <v>1122</v>
      </c>
      <c r="D2" s="89" t="s">
        <v>32</v>
      </c>
      <c r="E2" s="89" t="s">
        <v>53</v>
      </c>
      <c r="F2" s="90" t="s">
        <v>1119</v>
      </c>
      <c r="G2" s="93"/>
      <c r="H2" s="93"/>
      <c r="I2" s="93"/>
      <c r="J2" s="93"/>
      <c r="K2" s="93"/>
      <c r="L2" s="93"/>
      <c r="M2" s="93"/>
      <c r="N2" s="89"/>
      <c r="O2" s="89"/>
      <c r="P2" s="89"/>
      <c r="Q2" s="89" t="s">
        <v>32</v>
      </c>
      <c r="R2" s="89" t="s">
        <v>9</v>
      </c>
      <c r="S2" s="89"/>
      <c r="T2" s="89"/>
      <c r="U2" s="92"/>
    </row>
    <row r="3" spans="1:21" s="4" customFormat="1" ht="37.5" x14ac:dyDescent="0.3">
      <c r="A3" s="35">
        <v>2</v>
      </c>
      <c r="B3" s="90" t="s">
        <v>68</v>
      </c>
      <c r="C3" s="90" t="s">
        <v>1122</v>
      </c>
      <c r="D3" s="89" t="s">
        <v>78</v>
      </c>
      <c r="E3" s="91">
        <v>70697123002021</v>
      </c>
      <c r="F3" s="90" t="s">
        <v>1117</v>
      </c>
      <c r="G3" s="91"/>
      <c r="H3" s="91"/>
      <c r="I3" s="91"/>
      <c r="J3" s="91"/>
      <c r="K3" s="91"/>
      <c r="L3" s="91"/>
      <c r="M3" s="91"/>
      <c r="N3" s="91"/>
      <c r="O3" s="91"/>
      <c r="P3" s="91"/>
      <c r="Q3" s="89" t="s">
        <v>91</v>
      </c>
      <c r="R3" s="89" t="s">
        <v>9</v>
      </c>
      <c r="S3" s="89"/>
      <c r="T3" s="89"/>
      <c r="U3" s="92"/>
    </row>
    <row r="4" spans="1:21" s="4" customFormat="1" ht="37.5" x14ac:dyDescent="0.3">
      <c r="A4" s="35">
        <v>3</v>
      </c>
      <c r="B4" s="90" t="s">
        <v>68</v>
      </c>
      <c r="C4" s="90" t="s">
        <v>1122</v>
      </c>
      <c r="D4" s="89" t="s">
        <v>77</v>
      </c>
      <c r="E4" s="91">
        <v>70697123002020</v>
      </c>
      <c r="F4" s="90" t="s">
        <v>1116</v>
      </c>
      <c r="G4" s="91"/>
      <c r="H4" s="91"/>
      <c r="I4" s="91"/>
      <c r="J4" s="91"/>
      <c r="K4" s="91"/>
      <c r="L4" s="91"/>
      <c r="M4" s="91"/>
      <c r="N4" s="91"/>
      <c r="O4" s="91"/>
      <c r="P4" s="91"/>
      <c r="Q4" s="89" t="s">
        <v>91</v>
      </c>
      <c r="R4" s="89" t="s">
        <v>9</v>
      </c>
      <c r="S4" s="89"/>
      <c r="T4" s="89"/>
      <c r="U4" s="92"/>
    </row>
  </sheetData>
  <pageMargins left="0.7" right="0.7" top="0.75" bottom="0.75" header="0.3" footer="0.3"/>
  <pageSetup paperSize="8" scale="42" fitToHeight="0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D3B157-D6B8-43C3-9553-CDA291A37C11}">
  <sheetPr codeName="Sheet8">
    <pageSetUpPr fitToPage="1"/>
  </sheetPr>
  <dimension ref="A1:N16"/>
  <sheetViews>
    <sheetView zoomScale="70" zoomScaleNormal="70" workbookViewId="0"/>
  </sheetViews>
  <sheetFormatPr defaultColWidth="7" defaultRowHeight="18.75" x14ac:dyDescent="0.3"/>
  <cols>
    <col min="1" max="1" width="5.77734375" style="71" customWidth="1"/>
    <col min="2" max="2" width="52.6640625" style="65" customWidth="1"/>
    <col min="3" max="3" width="17.109375" style="1" customWidth="1"/>
    <col min="4" max="4" width="17.88671875" style="2" customWidth="1"/>
    <col min="5" max="5" width="35.5546875" style="2" customWidth="1"/>
    <col min="6" max="6" width="29.6640625" style="103" customWidth="1"/>
    <col min="7" max="9" width="18.88671875" style="103" bestFit="1" customWidth="1"/>
    <col min="10" max="12" width="12" style="82" customWidth="1"/>
    <col min="13" max="13" width="24.21875" style="2" customWidth="1"/>
    <col min="14" max="14" width="11.5546875" style="2" customWidth="1"/>
    <col min="15" max="239" width="7" style="2"/>
    <col min="240" max="240" width="4.109375" style="2" customWidth="1"/>
    <col min="241" max="241" width="3.6640625" style="2" customWidth="1"/>
    <col min="242" max="242" width="4.88671875" style="2" customWidth="1"/>
    <col min="243" max="243" width="10.33203125" style="2" customWidth="1"/>
    <col min="244" max="244" width="13.33203125" style="2" customWidth="1"/>
    <col min="245" max="245" width="5.5546875" style="2" customWidth="1"/>
    <col min="246" max="246" width="6.44140625" style="2" customWidth="1"/>
    <col min="247" max="247" width="11.6640625" style="2" customWidth="1"/>
    <col min="248" max="248" width="10.44140625" style="2" customWidth="1"/>
    <col min="249" max="249" width="13.44140625" style="2" customWidth="1"/>
    <col min="250" max="495" width="7" style="2"/>
    <col min="496" max="496" width="4.109375" style="2" customWidth="1"/>
    <col min="497" max="497" width="3.6640625" style="2" customWidth="1"/>
    <col min="498" max="498" width="4.88671875" style="2" customWidth="1"/>
    <col min="499" max="499" width="10.33203125" style="2" customWidth="1"/>
    <col min="500" max="500" width="13.33203125" style="2" customWidth="1"/>
    <col min="501" max="501" width="5.5546875" style="2" customWidth="1"/>
    <col min="502" max="502" width="6.44140625" style="2" customWidth="1"/>
    <col min="503" max="503" width="11.6640625" style="2" customWidth="1"/>
    <col min="504" max="504" width="10.44140625" style="2" customWidth="1"/>
    <col min="505" max="505" width="13.44140625" style="2" customWidth="1"/>
    <col min="506" max="751" width="7" style="2"/>
    <col min="752" max="752" width="4.109375" style="2" customWidth="1"/>
    <col min="753" max="753" width="3.6640625" style="2" customWidth="1"/>
    <col min="754" max="754" width="4.88671875" style="2" customWidth="1"/>
    <col min="755" max="755" width="10.33203125" style="2" customWidth="1"/>
    <col min="756" max="756" width="13.33203125" style="2" customWidth="1"/>
    <col min="757" max="757" width="5.5546875" style="2" customWidth="1"/>
    <col min="758" max="758" width="6.44140625" style="2" customWidth="1"/>
    <col min="759" max="759" width="11.6640625" style="2" customWidth="1"/>
    <col min="760" max="760" width="10.44140625" style="2" customWidth="1"/>
    <col min="761" max="761" width="13.44140625" style="2" customWidth="1"/>
    <col min="762" max="1007" width="7" style="2"/>
    <col min="1008" max="1008" width="4.109375" style="2" customWidth="1"/>
    <col min="1009" max="1009" width="3.6640625" style="2" customWidth="1"/>
    <col min="1010" max="1010" width="4.88671875" style="2" customWidth="1"/>
    <col min="1011" max="1011" width="10.33203125" style="2" customWidth="1"/>
    <col min="1012" max="1012" width="13.33203125" style="2" customWidth="1"/>
    <col min="1013" max="1013" width="5.5546875" style="2" customWidth="1"/>
    <col min="1014" max="1014" width="6.44140625" style="2" customWidth="1"/>
    <col min="1015" max="1015" width="11.6640625" style="2" customWidth="1"/>
    <col min="1016" max="1016" width="10.44140625" style="2" customWidth="1"/>
    <col min="1017" max="1017" width="13.44140625" style="2" customWidth="1"/>
    <col min="1018" max="1263" width="7" style="2"/>
    <col min="1264" max="1264" width="4.109375" style="2" customWidth="1"/>
    <col min="1265" max="1265" width="3.6640625" style="2" customWidth="1"/>
    <col min="1266" max="1266" width="4.88671875" style="2" customWidth="1"/>
    <col min="1267" max="1267" width="10.33203125" style="2" customWidth="1"/>
    <col min="1268" max="1268" width="13.33203125" style="2" customWidth="1"/>
    <col min="1269" max="1269" width="5.5546875" style="2" customWidth="1"/>
    <col min="1270" max="1270" width="6.44140625" style="2" customWidth="1"/>
    <col min="1271" max="1271" width="11.6640625" style="2" customWidth="1"/>
    <col min="1272" max="1272" width="10.44140625" style="2" customWidth="1"/>
    <col min="1273" max="1273" width="13.44140625" style="2" customWidth="1"/>
    <col min="1274" max="1519" width="7" style="2"/>
    <col min="1520" max="1520" width="4.109375" style="2" customWidth="1"/>
    <col min="1521" max="1521" width="3.6640625" style="2" customWidth="1"/>
    <col min="1522" max="1522" width="4.88671875" style="2" customWidth="1"/>
    <col min="1523" max="1523" width="10.33203125" style="2" customWidth="1"/>
    <col min="1524" max="1524" width="13.33203125" style="2" customWidth="1"/>
    <col min="1525" max="1525" width="5.5546875" style="2" customWidth="1"/>
    <col min="1526" max="1526" width="6.44140625" style="2" customWidth="1"/>
    <col min="1527" max="1527" width="11.6640625" style="2" customWidth="1"/>
    <col min="1528" max="1528" width="10.44140625" style="2" customWidth="1"/>
    <col min="1529" max="1529" width="13.44140625" style="2" customWidth="1"/>
    <col min="1530" max="1775" width="7" style="2"/>
    <col min="1776" max="1776" width="4.109375" style="2" customWidth="1"/>
    <col min="1777" max="1777" width="3.6640625" style="2" customWidth="1"/>
    <col min="1778" max="1778" width="4.88671875" style="2" customWidth="1"/>
    <col min="1779" max="1779" width="10.33203125" style="2" customWidth="1"/>
    <col min="1780" max="1780" width="13.33203125" style="2" customWidth="1"/>
    <col min="1781" max="1781" width="5.5546875" style="2" customWidth="1"/>
    <col min="1782" max="1782" width="6.44140625" style="2" customWidth="1"/>
    <col min="1783" max="1783" width="11.6640625" style="2" customWidth="1"/>
    <col min="1784" max="1784" width="10.44140625" style="2" customWidth="1"/>
    <col min="1785" max="1785" width="13.44140625" style="2" customWidth="1"/>
    <col min="1786" max="2031" width="7" style="2"/>
    <col min="2032" max="2032" width="4.109375" style="2" customWidth="1"/>
    <col min="2033" max="2033" width="3.6640625" style="2" customWidth="1"/>
    <col min="2034" max="2034" width="4.88671875" style="2" customWidth="1"/>
    <col min="2035" max="2035" width="10.33203125" style="2" customWidth="1"/>
    <col min="2036" max="2036" width="13.33203125" style="2" customWidth="1"/>
    <col min="2037" max="2037" width="5.5546875" style="2" customWidth="1"/>
    <col min="2038" max="2038" width="6.44140625" style="2" customWidth="1"/>
    <col min="2039" max="2039" width="11.6640625" style="2" customWidth="1"/>
    <col min="2040" max="2040" width="10.44140625" style="2" customWidth="1"/>
    <col min="2041" max="2041" width="13.44140625" style="2" customWidth="1"/>
    <col min="2042" max="2287" width="7" style="2"/>
    <col min="2288" max="2288" width="4.109375" style="2" customWidth="1"/>
    <col min="2289" max="2289" width="3.6640625" style="2" customWidth="1"/>
    <col min="2290" max="2290" width="4.88671875" style="2" customWidth="1"/>
    <col min="2291" max="2291" width="10.33203125" style="2" customWidth="1"/>
    <col min="2292" max="2292" width="13.33203125" style="2" customWidth="1"/>
    <col min="2293" max="2293" width="5.5546875" style="2" customWidth="1"/>
    <col min="2294" max="2294" width="6.44140625" style="2" customWidth="1"/>
    <col min="2295" max="2295" width="11.6640625" style="2" customWidth="1"/>
    <col min="2296" max="2296" width="10.44140625" style="2" customWidth="1"/>
    <col min="2297" max="2297" width="13.44140625" style="2" customWidth="1"/>
    <col min="2298" max="2543" width="7" style="2"/>
    <col min="2544" max="2544" width="4.109375" style="2" customWidth="1"/>
    <col min="2545" max="2545" width="3.6640625" style="2" customWidth="1"/>
    <col min="2546" max="2546" width="4.88671875" style="2" customWidth="1"/>
    <col min="2547" max="2547" width="10.33203125" style="2" customWidth="1"/>
    <col min="2548" max="2548" width="13.33203125" style="2" customWidth="1"/>
    <col min="2549" max="2549" width="5.5546875" style="2" customWidth="1"/>
    <col min="2550" max="2550" width="6.44140625" style="2" customWidth="1"/>
    <col min="2551" max="2551" width="11.6640625" style="2" customWidth="1"/>
    <col min="2552" max="2552" width="10.44140625" style="2" customWidth="1"/>
    <col min="2553" max="2553" width="13.44140625" style="2" customWidth="1"/>
    <col min="2554" max="2799" width="7" style="2"/>
    <col min="2800" max="2800" width="4.109375" style="2" customWidth="1"/>
    <col min="2801" max="2801" width="3.6640625" style="2" customWidth="1"/>
    <col min="2802" max="2802" width="4.88671875" style="2" customWidth="1"/>
    <col min="2803" max="2803" width="10.33203125" style="2" customWidth="1"/>
    <col min="2804" max="2804" width="13.33203125" style="2" customWidth="1"/>
    <col min="2805" max="2805" width="5.5546875" style="2" customWidth="1"/>
    <col min="2806" max="2806" width="6.44140625" style="2" customWidth="1"/>
    <col min="2807" max="2807" width="11.6640625" style="2" customWidth="1"/>
    <col min="2808" max="2808" width="10.44140625" style="2" customWidth="1"/>
    <col min="2809" max="2809" width="13.44140625" style="2" customWidth="1"/>
    <col min="2810" max="3055" width="7" style="2"/>
    <col min="3056" max="3056" width="4.109375" style="2" customWidth="1"/>
    <col min="3057" max="3057" width="3.6640625" style="2" customWidth="1"/>
    <col min="3058" max="3058" width="4.88671875" style="2" customWidth="1"/>
    <col min="3059" max="3059" width="10.33203125" style="2" customWidth="1"/>
    <col min="3060" max="3060" width="13.33203125" style="2" customWidth="1"/>
    <col min="3061" max="3061" width="5.5546875" style="2" customWidth="1"/>
    <col min="3062" max="3062" width="6.44140625" style="2" customWidth="1"/>
    <col min="3063" max="3063" width="11.6640625" style="2" customWidth="1"/>
    <col min="3064" max="3064" width="10.44140625" style="2" customWidth="1"/>
    <col min="3065" max="3065" width="13.44140625" style="2" customWidth="1"/>
    <col min="3066" max="3311" width="7" style="2"/>
    <col min="3312" max="3312" width="4.109375" style="2" customWidth="1"/>
    <col min="3313" max="3313" width="3.6640625" style="2" customWidth="1"/>
    <col min="3314" max="3314" width="4.88671875" style="2" customWidth="1"/>
    <col min="3315" max="3315" width="10.33203125" style="2" customWidth="1"/>
    <col min="3316" max="3316" width="13.33203125" style="2" customWidth="1"/>
    <col min="3317" max="3317" width="5.5546875" style="2" customWidth="1"/>
    <col min="3318" max="3318" width="6.44140625" style="2" customWidth="1"/>
    <col min="3319" max="3319" width="11.6640625" style="2" customWidth="1"/>
    <col min="3320" max="3320" width="10.44140625" style="2" customWidth="1"/>
    <col min="3321" max="3321" width="13.44140625" style="2" customWidth="1"/>
    <col min="3322" max="3567" width="7" style="2"/>
    <col min="3568" max="3568" width="4.109375" style="2" customWidth="1"/>
    <col min="3569" max="3569" width="3.6640625" style="2" customWidth="1"/>
    <col min="3570" max="3570" width="4.88671875" style="2" customWidth="1"/>
    <col min="3571" max="3571" width="10.33203125" style="2" customWidth="1"/>
    <col min="3572" max="3572" width="13.33203125" style="2" customWidth="1"/>
    <col min="3573" max="3573" width="5.5546875" style="2" customWidth="1"/>
    <col min="3574" max="3574" width="6.44140625" style="2" customWidth="1"/>
    <col min="3575" max="3575" width="11.6640625" style="2" customWidth="1"/>
    <col min="3576" max="3576" width="10.44140625" style="2" customWidth="1"/>
    <col min="3577" max="3577" width="13.44140625" style="2" customWidth="1"/>
    <col min="3578" max="3823" width="7" style="2"/>
    <col min="3824" max="3824" width="4.109375" style="2" customWidth="1"/>
    <col min="3825" max="3825" width="3.6640625" style="2" customWidth="1"/>
    <col min="3826" max="3826" width="4.88671875" style="2" customWidth="1"/>
    <col min="3827" max="3827" width="10.33203125" style="2" customWidth="1"/>
    <col min="3828" max="3828" width="13.33203125" style="2" customWidth="1"/>
    <col min="3829" max="3829" width="5.5546875" style="2" customWidth="1"/>
    <col min="3830" max="3830" width="6.44140625" style="2" customWidth="1"/>
    <col min="3831" max="3831" width="11.6640625" style="2" customWidth="1"/>
    <col min="3832" max="3832" width="10.44140625" style="2" customWidth="1"/>
    <col min="3833" max="3833" width="13.44140625" style="2" customWidth="1"/>
    <col min="3834" max="4079" width="7" style="2"/>
    <col min="4080" max="4080" width="4.109375" style="2" customWidth="1"/>
    <col min="4081" max="4081" width="3.6640625" style="2" customWidth="1"/>
    <col min="4082" max="4082" width="4.88671875" style="2" customWidth="1"/>
    <col min="4083" max="4083" width="10.33203125" style="2" customWidth="1"/>
    <col min="4084" max="4084" width="13.33203125" style="2" customWidth="1"/>
    <col min="4085" max="4085" width="5.5546875" style="2" customWidth="1"/>
    <col min="4086" max="4086" width="6.44140625" style="2" customWidth="1"/>
    <col min="4087" max="4087" width="11.6640625" style="2" customWidth="1"/>
    <col min="4088" max="4088" width="10.44140625" style="2" customWidth="1"/>
    <col min="4089" max="4089" width="13.44140625" style="2" customWidth="1"/>
    <col min="4090" max="4335" width="7" style="2"/>
    <col min="4336" max="4336" width="4.109375" style="2" customWidth="1"/>
    <col min="4337" max="4337" width="3.6640625" style="2" customWidth="1"/>
    <col min="4338" max="4338" width="4.88671875" style="2" customWidth="1"/>
    <col min="4339" max="4339" width="10.33203125" style="2" customWidth="1"/>
    <col min="4340" max="4340" width="13.33203125" style="2" customWidth="1"/>
    <col min="4341" max="4341" width="5.5546875" style="2" customWidth="1"/>
    <col min="4342" max="4342" width="6.44140625" style="2" customWidth="1"/>
    <col min="4343" max="4343" width="11.6640625" style="2" customWidth="1"/>
    <col min="4344" max="4344" width="10.44140625" style="2" customWidth="1"/>
    <col min="4345" max="4345" width="13.44140625" style="2" customWidth="1"/>
    <col min="4346" max="4591" width="7" style="2"/>
    <col min="4592" max="4592" width="4.109375" style="2" customWidth="1"/>
    <col min="4593" max="4593" width="3.6640625" style="2" customWidth="1"/>
    <col min="4594" max="4594" width="4.88671875" style="2" customWidth="1"/>
    <col min="4595" max="4595" width="10.33203125" style="2" customWidth="1"/>
    <col min="4596" max="4596" width="13.33203125" style="2" customWidth="1"/>
    <col min="4597" max="4597" width="5.5546875" style="2" customWidth="1"/>
    <col min="4598" max="4598" width="6.44140625" style="2" customWidth="1"/>
    <col min="4599" max="4599" width="11.6640625" style="2" customWidth="1"/>
    <col min="4600" max="4600" width="10.44140625" style="2" customWidth="1"/>
    <col min="4601" max="4601" width="13.44140625" style="2" customWidth="1"/>
    <col min="4602" max="4847" width="7" style="2"/>
    <col min="4848" max="4848" width="4.109375" style="2" customWidth="1"/>
    <col min="4849" max="4849" width="3.6640625" style="2" customWidth="1"/>
    <col min="4850" max="4850" width="4.88671875" style="2" customWidth="1"/>
    <col min="4851" max="4851" width="10.33203125" style="2" customWidth="1"/>
    <col min="4852" max="4852" width="13.33203125" style="2" customWidth="1"/>
    <col min="4853" max="4853" width="5.5546875" style="2" customWidth="1"/>
    <col min="4854" max="4854" width="6.44140625" style="2" customWidth="1"/>
    <col min="4855" max="4855" width="11.6640625" style="2" customWidth="1"/>
    <col min="4856" max="4856" width="10.44140625" style="2" customWidth="1"/>
    <col min="4857" max="4857" width="13.44140625" style="2" customWidth="1"/>
    <col min="4858" max="5103" width="7" style="2"/>
    <col min="5104" max="5104" width="4.109375" style="2" customWidth="1"/>
    <col min="5105" max="5105" width="3.6640625" style="2" customWidth="1"/>
    <col min="5106" max="5106" width="4.88671875" style="2" customWidth="1"/>
    <col min="5107" max="5107" width="10.33203125" style="2" customWidth="1"/>
    <col min="5108" max="5108" width="13.33203125" style="2" customWidth="1"/>
    <col min="5109" max="5109" width="5.5546875" style="2" customWidth="1"/>
    <col min="5110" max="5110" width="6.44140625" style="2" customWidth="1"/>
    <col min="5111" max="5111" width="11.6640625" style="2" customWidth="1"/>
    <col min="5112" max="5112" width="10.44140625" style="2" customWidth="1"/>
    <col min="5113" max="5113" width="13.44140625" style="2" customWidth="1"/>
    <col min="5114" max="5359" width="7" style="2"/>
    <col min="5360" max="5360" width="4.109375" style="2" customWidth="1"/>
    <col min="5361" max="5361" width="3.6640625" style="2" customWidth="1"/>
    <col min="5362" max="5362" width="4.88671875" style="2" customWidth="1"/>
    <col min="5363" max="5363" width="10.33203125" style="2" customWidth="1"/>
    <col min="5364" max="5364" width="13.33203125" style="2" customWidth="1"/>
    <col min="5365" max="5365" width="5.5546875" style="2" customWidth="1"/>
    <col min="5366" max="5366" width="6.44140625" style="2" customWidth="1"/>
    <col min="5367" max="5367" width="11.6640625" style="2" customWidth="1"/>
    <col min="5368" max="5368" width="10.44140625" style="2" customWidth="1"/>
    <col min="5369" max="5369" width="13.44140625" style="2" customWidth="1"/>
    <col min="5370" max="5615" width="7" style="2"/>
    <col min="5616" max="5616" width="4.109375" style="2" customWidth="1"/>
    <col min="5617" max="5617" width="3.6640625" style="2" customWidth="1"/>
    <col min="5618" max="5618" width="4.88671875" style="2" customWidth="1"/>
    <col min="5619" max="5619" width="10.33203125" style="2" customWidth="1"/>
    <col min="5620" max="5620" width="13.33203125" style="2" customWidth="1"/>
    <col min="5621" max="5621" width="5.5546875" style="2" customWidth="1"/>
    <col min="5622" max="5622" width="6.44140625" style="2" customWidth="1"/>
    <col min="5623" max="5623" width="11.6640625" style="2" customWidth="1"/>
    <col min="5624" max="5624" width="10.44140625" style="2" customWidth="1"/>
    <col min="5625" max="5625" width="13.44140625" style="2" customWidth="1"/>
    <col min="5626" max="5871" width="7" style="2"/>
    <col min="5872" max="5872" width="4.109375" style="2" customWidth="1"/>
    <col min="5873" max="5873" width="3.6640625" style="2" customWidth="1"/>
    <col min="5874" max="5874" width="4.88671875" style="2" customWidth="1"/>
    <col min="5875" max="5875" width="10.33203125" style="2" customWidth="1"/>
    <col min="5876" max="5876" width="13.33203125" style="2" customWidth="1"/>
    <col min="5877" max="5877" width="5.5546875" style="2" customWidth="1"/>
    <col min="5878" max="5878" width="6.44140625" style="2" customWidth="1"/>
    <col min="5879" max="5879" width="11.6640625" style="2" customWidth="1"/>
    <col min="5880" max="5880" width="10.44140625" style="2" customWidth="1"/>
    <col min="5881" max="5881" width="13.44140625" style="2" customWidth="1"/>
    <col min="5882" max="6127" width="7" style="2"/>
    <col min="6128" max="6128" width="4.109375" style="2" customWidth="1"/>
    <col min="6129" max="6129" width="3.6640625" style="2" customWidth="1"/>
    <col min="6130" max="6130" width="4.88671875" style="2" customWidth="1"/>
    <col min="6131" max="6131" width="10.33203125" style="2" customWidth="1"/>
    <col min="6132" max="6132" width="13.33203125" style="2" customWidth="1"/>
    <col min="6133" max="6133" width="5.5546875" style="2" customWidth="1"/>
    <col min="6134" max="6134" width="6.44140625" style="2" customWidth="1"/>
    <col min="6135" max="6135" width="11.6640625" style="2" customWidth="1"/>
    <col min="6136" max="6136" width="10.44140625" style="2" customWidth="1"/>
    <col min="6137" max="6137" width="13.44140625" style="2" customWidth="1"/>
    <col min="6138" max="6383" width="7" style="2"/>
    <col min="6384" max="6384" width="4.109375" style="2" customWidth="1"/>
    <col min="6385" max="6385" width="3.6640625" style="2" customWidth="1"/>
    <col min="6386" max="6386" width="4.88671875" style="2" customWidth="1"/>
    <col min="6387" max="6387" width="10.33203125" style="2" customWidth="1"/>
    <col min="6388" max="6388" width="13.33203125" style="2" customWidth="1"/>
    <col min="6389" max="6389" width="5.5546875" style="2" customWidth="1"/>
    <col min="6390" max="6390" width="6.44140625" style="2" customWidth="1"/>
    <col min="6391" max="6391" width="11.6640625" style="2" customWidth="1"/>
    <col min="6392" max="6392" width="10.44140625" style="2" customWidth="1"/>
    <col min="6393" max="6393" width="13.44140625" style="2" customWidth="1"/>
    <col min="6394" max="6639" width="7" style="2"/>
    <col min="6640" max="6640" width="4.109375" style="2" customWidth="1"/>
    <col min="6641" max="6641" width="3.6640625" style="2" customWidth="1"/>
    <col min="6642" max="6642" width="4.88671875" style="2" customWidth="1"/>
    <col min="6643" max="6643" width="10.33203125" style="2" customWidth="1"/>
    <col min="6644" max="6644" width="13.33203125" style="2" customWidth="1"/>
    <col min="6645" max="6645" width="5.5546875" style="2" customWidth="1"/>
    <col min="6646" max="6646" width="6.44140625" style="2" customWidth="1"/>
    <col min="6647" max="6647" width="11.6640625" style="2" customWidth="1"/>
    <col min="6648" max="6648" width="10.44140625" style="2" customWidth="1"/>
    <col min="6649" max="6649" width="13.44140625" style="2" customWidth="1"/>
    <col min="6650" max="6895" width="7" style="2"/>
    <col min="6896" max="6896" width="4.109375" style="2" customWidth="1"/>
    <col min="6897" max="6897" width="3.6640625" style="2" customWidth="1"/>
    <col min="6898" max="6898" width="4.88671875" style="2" customWidth="1"/>
    <col min="6899" max="6899" width="10.33203125" style="2" customWidth="1"/>
    <col min="6900" max="6900" width="13.33203125" style="2" customWidth="1"/>
    <col min="6901" max="6901" width="5.5546875" style="2" customWidth="1"/>
    <col min="6902" max="6902" width="6.44140625" style="2" customWidth="1"/>
    <col min="6903" max="6903" width="11.6640625" style="2" customWidth="1"/>
    <col min="6904" max="6904" width="10.44140625" style="2" customWidth="1"/>
    <col min="6905" max="6905" width="13.44140625" style="2" customWidth="1"/>
    <col min="6906" max="7151" width="7" style="2"/>
    <col min="7152" max="7152" width="4.109375" style="2" customWidth="1"/>
    <col min="7153" max="7153" width="3.6640625" style="2" customWidth="1"/>
    <col min="7154" max="7154" width="4.88671875" style="2" customWidth="1"/>
    <col min="7155" max="7155" width="10.33203125" style="2" customWidth="1"/>
    <col min="7156" max="7156" width="13.33203125" style="2" customWidth="1"/>
    <col min="7157" max="7157" width="5.5546875" style="2" customWidth="1"/>
    <col min="7158" max="7158" width="6.44140625" style="2" customWidth="1"/>
    <col min="7159" max="7159" width="11.6640625" style="2" customWidth="1"/>
    <col min="7160" max="7160" width="10.44140625" style="2" customWidth="1"/>
    <col min="7161" max="7161" width="13.44140625" style="2" customWidth="1"/>
    <col min="7162" max="7407" width="7" style="2"/>
    <col min="7408" max="7408" width="4.109375" style="2" customWidth="1"/>
    <col min="7409" max="7409" width="3.6640625" style="2" customWidth="1"/>
    <col min="7410" max="7410" width="4.88671875" style="2" customWidth="1"/>
    <col min="7411" max="7411" width="10.33203125" style="2" customWidth="1"/>
    <col min="7412" max="7412" width="13.33203125" style="2" customWidth="1"/>
    <col min="7413" max="7413" width="5.5546875" style="2" customWidth="1"/>
    <col min="7414" max="7414" width="6.44140625" style="2" customWidth="1"/>
    <col min="7415" max="7415" width="11.6640625" style="2" customWidth="1"/>
    <col min="7416" max="7416" width="10.44140625" style="2" customWidth="1"/>
    <col min="7417" max="7417" width="13.44140625" style="2" customWidth="1"/>
    <col min="7418" max="7663" width="7" style="2"/>
    <col min="7664" max="7664" width="4.109375" style="2" customWidth="1"/>
    <col min="7665" max="7665" width="3.6640625" style="2" customWidth="1"/>
    <col min="7666" max="7666" width="4.88671875" style="2" customWidth="1"/>
    <col min="7667" max="7667" width="10.33203125" style="2" customWidth="1"/>
    <col min="7668" max="7668" width="13.33203125" style="2" customWidth="1"/>
    <col min="7669" max="7669" width="5.5546875" style="2" customWidth="1"/>
    <col min="7670" max="7670" width="6.44140625" style="2" customWidth="1"/>
    <col min="7671" max="7671" width="11.6640625" style="2" customWidth="1"/>
    <col min="7672" max="7672" width="10.44140625" style="2" customWidth="1"/>
    <col min="7673" max="7673" width="13.44140625" style="2" customWidth="1"/>
    <col min="7674" max="7919" width="7" style="2"/>
    <col min="7920" max="7920" width="4.109375" style="2" customWidth="1"/>
    <col min="7921" max="7921" width="3.6640625" style="2" customWidth="1"/>
    <col min="7922" max="7922" width="4.88671875" style="2" customWidth="1"/>
    <col min="7923" max="7923" width="10.33203125" style="2" customWidth="1"/>
    <col min="7924" max="7924" width="13.33203125" style="2" customWidth="1"/>
    <col min="7925" max="7925" width="5.5546875" style="2" customWidth="1"/>
    <col min="7926" max="7926" width="6.44140625" style="2" customWidth="1"/>
    <col min="7927" max="7927" width="11.6640625" style="2" customWidth="1"/>
    <col min="7928" max="7928" width="10.44140625" style="2" customWidth="1"/>
    <col min="7929" max="7929" width="13.44140625" style="2" customWidth="1"/>
    <col min="7930" max="8175" width="7" style="2"/>
    <col min="8176" max="8176" width="4.109375" style="2" customWidth="1"/>
    <col min="8177" max="8177" width="3.6640625" style="2" customWidth="1"/>
    <col min="8178" max="8178" width="4.88671875" style="2" customWidth="1"/>
    <col min="8179" max="8179" width="10.33203125" style="2" customWidth="1"/>
    <col min="8180" max="8180" width="13.33203125" style="2" customWidth="1"/>
    <col min="8181" max="8181" width="5.5546875" style="2" customWidth="1"/>
    <col min="8182" max="8182" width="6.44140625" style="2" customWidth="1"/>
    <col min="8183" max="8183" width="11.6640625" style="2" customWidth="1"/>
    <col min="8184" max="8184" width="10.44140625" style="2" customWidth="1"/>
    <col min="8185" max="8185" width="13.44140625" style="2" customWidth="1"/>
    <col min="8186" max="8431" width="7" style="2"/>
    <col min="8432" max="8432" width="4.109375" style="2" customWidth="1"/>
    <col min="8433" max="8433" width="3.6640625" style="2" customWidth="1"/>
    <col min="8434" max="8434" width="4.88671875" style="2" customWidth="1"/>
    <col min="8435" max="8435" width="10.33203125" style="2" customWidth="1"/>
    <col min="8436" max="8436" width="13.33203125" style="2" customWidth="1"/>
    <col min="8437" max="8437" width="5.5546875" style="2" customWidth="1"/>
    <col min="8438" max="8438" width="6.44140625" style="2" customWidth="1"/>
    <col min="8439" max="8439" width="11.6640625" style="2" customWidth="1"/>
    <col min="8440" max="8440" width="10.44140625" style="2" customWidth="1"/>
    <col min="8441" max="8441" width="13.44140625" style="2" customWidth="1"/>
    <col min="8442" max="8687" width="7" style="2"/>
    <col min="8688" max="8688" width="4.109375" style="2" customWidth="1"/>
    <col min="8689" max="8689" width="3.6640625" style="2" customWidth="1"/>
    <col min="8690" max="8690" width="4.88671875" style="2" customWidth="1"/>
    <col min="8691" max="8691" width="10.33203125" style="2" customWidth="1"/>
    <col min="8692" max="8692" width="13.33203125" style="2" customWidth="1"/>
    <col min="8693" max="8693" width="5.5546875" style="2" customWidth="1"/>
    <col min="8694" max="8694" width="6.44140625" style="2" customWidth="1"/>
    <col min="8695" max="8695" width="11.6640625" style="2" customWidth="1"/>
    <col min="8696" max="8696" width="10.44140625" style="2" customWidth="1"/>
    <col min="8697" max="8697" width="13.44140625" style="2" customWidth="1"/>
    <col min="8698" max="8943" width="7" style="2"/>
    <col min="8944" max="8944" width="4.109375" style="2" customWidth="1"/>
    <col min="8945" max="8945" width="3.6640625" style="2" customWidth="1"/>
    <col min="8946" max="8946" width="4.88671875" style="2" customWidth="1"/>
    <col min="8947" max="8947" width="10.33203125" style="2" customWidth="1"/>
    <col min="8948" max="8948" width="13.33203125" style="2" customWidth="1"/>
    <col min="8949" max="8949" width="5.5546875" style="2" customWidth="1"/>
    <col min="8950" max="8950" width="6.44140625" style="2" customWidth="1"/>
    <col min="8951" max="8951" width="11.6640625" style="2" customWidth="1"/>
    <col min="8952" max="8952" width="10.44140625" style="2" customWidth="1"/>
    <col min="8953" max="8953" width="13.44140625" style="2" customWidth="1"/>
    <col min="8954" max="9199" width="7" style="2"/>
    <col min="9200" max="9200" width="4.109375" style="2" customWidth="1"/>
    <col min="9201" max="9201" width="3.6640625" style="2" customWidth="1"/>
    <col min="9202" max="9202" width="4.88671875" style="2" customWidth="1"/>
    <col min="9203" max="9203" width="10.33203125" style="2" customWidth="1"/>
    <col min="9204" max="9204" width="13.33203125" style="2" customWidth="1"/>
    <col min="9205" max="9205" width="5.5546875" style="2" customWidth="1"/>
    <col min="9206" max="9206" width="6.44140625" style="2" customWidth="1"/>
    <col min="9207" max="9207" width="11.6640625" style="2" customWidth="1"/>
    <col min="9208" max="9208" width="10.44140625" style="2" customWidth="1"/>
    <col min="9209" max="9209" width="13.44140625" style="2" customWidth="1"/>
    <col min="9210" max="9455" width="7" style="2"/>
    <col min="9456" max="9456" width="4.109375" style="2" customWidth="1"/>
    <col min="9457" max="9457" width="3.6640625" style="2" customWidth="1"/>
    <col min="9458" max="9458" width="4.88671875" style="2" customWidth="1"/>
    <col min="9459" max="9459" width="10.33203125" style="2" customWidth="1"/>
    <col min="9460" max="9460" width="13.33203125" style="2" customWidth="1"/>
    <col min="9461" max="9461" width="5.5546875" style="2" customWidth="1"/>
    <col min="9462" max="9462" width="6.44140625" style="2" customWidth="1"/>
    <col min="9463" max="9463" width="11.6640625" style="2" customWidth="1"/>
    <col min="9464" max="9464" width="10.44140625" style="2" customWidth="1"/>
    <col min="9465" max="9465" width="13.44140625" style="2" customWidth="1"/>
    <col min="9466" max="9711" width="7" style="2"/>
    <col min="9712" max="9712" width="4.109375" style="2" customWidth="1"/>
    <col min="9713" max="9713" width="3.6640625" style="2" customWidth="1"/>
    <col min="9714" max="9714" width="4.88671875" style="2" customWidth="1"/>
    <col min="9715" max="9715" width="10.33203125" style="2" customWidth="1"/>
    <col min="9716" max="9716" width="13.33203125" style="2" customWidth="1"/>
    <col min="9717" max="9717" width="5.5546875" style="2" customWidth="1"/>
    <col min="9718" max="9718" width="6.44140625" style="2" customWidth="1"/>
    <col min="9719" max="9719" width="11.6640625" style="2" customWidth="1"/>
    <col min="9720" max="9720" width="10.44140625" style="2" customWidth="1"/>
    <col min="9721" max="9721" width="13.44140625" style="2" customWidth="1"/>
    <col min="9722" max="9967" width="7" style="2"/>
    <col min="9968" max="9968" width="4.109375" style="2" customWidth="1"/>
    <col min="9969" max="9969" width="3.6640625" style="2" customWidth="1"/>
    <col min="9970" max="9970" width="4.88671875" style="2" customWidth="1"/>
    <col min="9971" max="9971" width="10.33203125" style="2" customWidth="1"/>
    <col min="9972" max="9972" width="13.33203125" style="2" customWidth="1"/>
    <col min="9973" max="9973" width="5.5546875" style="2" customWidth="1"/>
    <col min="9974" max="9974" width="6.44140625" style="2" customWidth="1"/>
    <col min="9975" max="9975" width="11.6640625" style="2" customWidth="1"/>
    <col min="9976" max="9976" width="10.44140625" style="2" customWidth="1"/>
    <col min="9977" max="9977" width="13.44140625" style="2" customWidth="1"/>
    <col min="9978" max="10223" width="7" style="2"/>
    <col min="10224" max="10224" width="4.109375" style="2" customWidth="1"/>
    <col min="10225" max="10225" width="3.6640625" style="2" customWidth="1"/>
    <col min="10226" max="10226" width="4.88671875" style="2" customWidth="1"/>
    <col min="10227" max="10227" width="10.33203125" style="2" customWidth="1"/>
    <col min="10228" max="10228" width="13.33203125" style="2" customWidth="1"/>
    <col min="10229" max="10229" width="5.5546875" style="2" customWidth="1"/>
    <col min="10230" max="10230" width="6.44140625" style="2" customWidth="1"/>
    <col min="10231" max="10231" width="11.6640625" style="2" customWidth="1"/>
    <col min="10232" max="10232" width="10.44140625" style="2" customWidth="1"/>
    <col min="10233" max="10233" width="13.44140625" style="2" customWidth="1"/>
    <col min="10234" max="10479" width="7" style="2"/>
    <col min="10480" max="10480" width="4.109375" style="2" customWidth="1"/>
    <col min="10481" max="10481" width="3.6640625" style="2" customWidth="1"/>
    <col min="10482" max="10482" width="4.88671875" style="2" customWidth="1"/>
    <col min="10483" max="10483" width="10.33203125" style="2" customWidth="1"/>
    <col min="10484" max="10484" width="13.33203125" style="2" customWidth="1"/>
    <col min="10485" max="10485" width="5.5546875" style="2" customWidth="1"/>
    <col min="10486" max="10486" width="6.44140625" style="2" customWidth="1"/>
    <col min="10487" max="10487" width="11.6640625" style="2" customWidth="1"/>
    <col min="10488" max="10488" width="10.44140625" style="2" customWidth="1"/>
    <col min="10489" max="10489" width="13.44140625" style="2" customWidth="1"/>
    <col min="10490" max="10735" width="7" style="2"/>
    <col min="10736" max="10736" width="4.109375" style="2" customWidth="1"/>
    <col min="10737" max="10737" width="3.6640625" style="2" customWidth="1"/>
    <col min="10738" max="10738" width="4.88671875" style="2" customWidth="1"/>
    <col min="10739" max="10739" width="10.33203125" style="2" customWidth="1"/>
    <col min="10740" max="10740" width="13.33203125" style="2" customWidth="1"/>
    <col min="10741" max="10741" width="5.5546875" style="2" customWidth="1"/>
    <col min="10742" max="10742" width="6.44140625" style="2" customWidth="1"/>
    <col min="10743" max="10743" width="11.6640625" style="2" customWidth="1"/>
    <col min="10744" max="10744" width="10.44140625" style="2" customWidth="1"/>
    <col min="10745" max="10745" width="13.44140625" style="2" customWidth="1"/>
    <col min="10746" max="10991" width="7" style="2"/>
    <col min="10992" max="10992" width="4.109375" style="2" customWidth="1"/>
    <col min="10993" max="10993" width="3.6640625" style="2" customWidth="1"/>
    <col min="10994" max="10994" width="4.88671875" style="2" customWidth="1"/>
    <col min="10995" max="10995" width="10.33203125" style="2" customWidth="1"/>
    <col min="10996" max="10996" width="13.33203125" style="2" customWidth="1"/>
    <col min="10997" max="10997" width="5.5546875" style="2" customWidth="1"/>
    <col min="10998" max="10998" width="6.44140625" style="2" customWidth="1"/>
    <col min="10999" max="10999" width="11.6640625" style="2" customWidth="1"/>
    <col min="11000" max="11000" width="10.44140625" style="2" customWidth="1"/>
    <col min="11001" max="11001" width="13.44140625" style="2" customWidth="1"/>
    <col min="11002" max="11247" width="7" style="2"/>
    <col min="11248" max="11248" width="4.109375" style="2" customWidth="1"/>
    <col min="11249" max="11249" width="3.6640625" style="2" customWidth="1"/>
    <col min="11250" max="11250" width="4.88671875" style="2" customWidth="1"/>
    <col min="11251" max="11251" width="10.33203125" style="2" customWidth="1"/>
    <col min="11252" max="11252" width="13.33203125" style="2" customWidth="1"/>
    <col min="11253" max="11253" width="5.5546875" style="2" customWidth="1"/>
    <col min="11254" max="11254" width="6.44140625" style="2" customWidth="1"/>
    <col min="11255" max="11255" width="11.6640625" style="2" customWidth="1"/>
    <col min="11256" max="11256" width="10.44140625" style="2" customWidth="1"/>
    <col min="11257" max="11257" width="13.44140625" style="2" customWidth="1"/>
    <col min="11258" max="11503" width="7" style="2"/>
    <col min="11504" max="11504" width="4.109375" style="2" customWidth="1"/>
    <col min="11505" max="11505" width="3.6640625" style="2" customWidth="1"/>
    <col min="11506" max="11506" width="4.88671875" style="2" customWidth="1"/>
    <col min="11507" max="11507" width="10.33203125" style="2" customWidth="1"/>
    <col min="11508" max="11508" width="13.33203125" style="2" customWidth="1"/>
    <col min="11509" max="11509" width="5.5546875" style="2" customWidth="1"/>
    <col min="11510" max="11510" width="6.44140625" style="2" customWidth="1"/>
    <col min="11511" max="11511" width="11.6640625" style="2" customWidth="1"/>
    <col min="11512" max="11512" width="10.44140625" style="2" customWidth="1"/>
    <col min="11513" max="11513" width="13.44140625" style="2" customWidth="1"/>
    <col min="11514" max="11759" width="7" style="2"/>
    <col min="11760" max="11760" width="4.109375" style="2" customWidth="1"/>
    <col min="11761" max="11761" width="3.6640625" style="2" customWidth="1"/>
    <col min="11762" max="11762" width="4.88671875" style="2" customWidth="1"/>
    <col min="11763" max="11763" width="10.33203125" style="2" customWidth="1"/>
    <col min="11764" max="11764" width="13.33203125" style="2" customWidth="1"/>
    <col min="11765" max="11765" width="5.5546875" style="2" customWidth="1"/>
    <col min="11766" max="11766" width="6.44140625" style="2" customWidth="1"/>
    <col min="11767" max="11767" width="11.6640625" style="2" customWidth="1"/>
    <col min="11768" max="11768" width="10.44140625" style="2" customWidth="1"/>
    <col min="11769" max="11769" width="13.44140625" style="2" customWidth="1"/>
    <col min="11770" max="12015" width="7" style="2"/>
    <col min="12016" max="12016" width="4.109375" style="2" customWidth="1"/>
    <col min="12017" max="12017" width="3.6640625" style="2" customWidth="1"/>
    <col min="12018" max="12018" width="4.88671875" style="2" customWidth="1"/>
    <col min="12019" max="12019" width="10.33203125" style="2" customWidth="1"/>
    <col min="12020" max="12020" width="13.33203125" style="2" customWidth="1"/>
    <col min="12021" max="12021" width="5.5546875" style="2" customWidth="1"/>
    <col min="12022" max="12022" width="6.44140625" style="2" customWidth="1"/>
    <col min="12023" max="12023" width="11.6640625" style="2" customWidth="1"/>
    <col min="12024" max="12024" width="10.44140625" style="2" customWidth="1"/>
    <col min="12025" max="12025" width="13.44140625" style="2" customWidth="1"/>
    <col min="12026" max="12271" width="7" style="2"/>
    <col min="12272" max="12272" width="4.109375" style="2" customWidth="1"/>
    <col min="12273" max="12273" width="3.6640625" style="2" customWidth="1"/>
    <col min="12274" max="12274" width="4.88671875" style="2" customWidth="1"/>
    <col min="12275" max="12275" width="10.33203125" style="2" customWidth="1"/>
    <col min="12276" max="12276" width="13.33203125" style="2" customWidth="1"/>
    <col min="12277" max="12277" width="5.5546875" style="2" customWidth="1"/>
    <col min="12278" max="12278" width="6.44140625" style="2" customWidth="1"/>
    <col min="12279" max="12279" width="11.6640625" style="2" customWidth="1"/>
    <col min="12280" max="12280" width="10.44140625" style="2" customWidth="1"/>
    <col min="12281" max="12281" width="13.44140625" style="2" customWidth="1"/>
    <col min="12282" max="12527" width="7" style="2"/>
    <col min="12528" max="12528" width="4.109375" style="2" customWidth="1"/>
    <col min="12529" max="12529" width="3.6640625" style="2" customWidth="1"/>
    <col min="12530" max="12530" width="4.88671875" style="2" customWidth="1"/>
    <col min="12531" max="12531" width="10.33203125" style="2" customWidth="1"/>
    <col min="12532" max="12532" width="13.33203125" style="2" customWidth="1"/>
    <col min="12533" max="12533" width="5.5546875" style="2" customWidth="1"/>
    <col min="12534" max="12534" width="6.44140625" style="2" customWidth="1"/>
    <col min="12535" max="12535" width="11.6640625" style="2" customWidth="1"/>
    <col min="12536" max="12536" width="10.44140625" style="2" customWidth="1"/>
    <col min="12537" max="12537" width="13.44140625" style="2" customWidth="1"/>
    <col min="12538" max="12783" width="7" style="2"/>
    <col min="12784" max="12784" width="4.109375" style="2" customWidth="1"/>
    <col min="12785" max="12785" width="3.6640625" style="2" customWidth="1"/>
    <col min="12786" max="12786" width="4.88671875" style="2" customWidth="1"/>
    <col min="12787" max="12787" width="10.33203125" style="2" customWidth="1"/>
    <col min="12788" max="12788" width="13.33203125" style="2" customWidth="1"/>
    <col min="12789" max="12789" width="5.5546875" style="2" customWidth="1"/>
    <col min="12790" max="12790" width="6.44140625" style="2" customWidth="1"/>
    <col min="12791" max="12791" width="11.6640625" style="2" customWidth="1"/>
    <col min="12792" max="12792" width="10.44140625" style="2" customWidth="1"/>
    <col min="12793" max="12793" width="13.44140625" style="2" customWidth="1"/>
    <col min="12794" max="13039" width="7" style="2"/>
    <col min="13040" max="13040" width="4.109375" style="2" customWidth="1"/>
    <col min="13041" max="13041" width="3.6640625" style="2" customWidth="1"/>
    <col min="13042" max="13042" width="4.88671875" style="2" customWidth="1"/>
    <col min="13043" max="13043" width="10.33203125" style="2" customWidth="1"/>
    <col min="13044" max="13044" width="13.33203125" style="2" customWidth="1"/>
    <col min="13045" max="13045" width="5.5546875" style="2" customWidth="1"/>
    <col min="13046" max="13046" width="6.44140625" style="2" customWidth="1"/>
    <col min="13047" max="13047" width="11.6640625" style="2" customWidth="1"/>
    <col min="13048" max="13048" width="10.44140625" style="2" customWidth="1"/>
    <col min="13049" max="13049" width="13.44140625" style="2" customWidth="1"/>
    <col min="13050" max="13295" width="7" style="2"/>
    <col min="13296" max="13296" width="4.109375" style="2" customWidth="1"/>
    <col min="13297" max="13297" width="3.6640625" style="2" customWidth="1"/>
    <col min="13298" max="13298" width="4.88671875" style="2" customWidth="1"/>
    <col min="13299" max="13299" width="10.33203125" style="2" customWidth="1"/>
    <col min="13300" max="13300" width="13.33203125" style="2" customWidth="1"/>
    <col min="13301" max="13301" width="5.5546875" style="2" customWidth="1"/>
    <col min="13302" max="13302" width="6.44140625" style="2" customWidth="1"/>
    <col min="13303" max="13303" width="11.6640625" style="2" customWidth="1"/>
    <col min="13304" max="13304" width="10.44140625" style="2" customWidth="1"/>
    <col min="13305" max="13305" width="13.44140625" style="2" customWidth="1"/>
    <col min="13306" max="13551" width="7" style="2"/>
    <col min="13552" max="13552" width="4.109375" style="2" customWidth="1"/>
    <col min="13553" max="13553" width="3.6640625" style="2" customWidth="1"/>
    <col min="13554" max="13554" width="4.88671875" style="2" customWidth="1"/>
    <col min="13555" max="13555" width="10.33203125" style="2" customWidth="1"/>
    <col min="13556" max="13556" width="13.33203125" style="2" customWidth="1"/>
    <col min="13557" max="13557" width="5.5546875" style="2" customWidth="1"/>
    <col min="13558" max="13558" width="6.44140625" style="2" customWidth="1"/>
    <col min="13559" max="13559" width="11.6640625" style="2" customWidth="1"/>
    <col min="13560" max="13560" width="10.44140625" style="2" customWidth="1"/>
    <col min="13561" max="13561" width="13.44140625" style="2" customWidth="1"/>
    <col min="13562" max="13807" width="7" style="2"/>
    <col min="13808" max="13808" width="4.109375" style="2" customWidth="1"/>
    <col min="13809" max="13809" width="3.6640625" style="2" customWidth="1"/>
    <col min="13810" max="13810" width="4.88671875" style="2" customWidth="1"/>
    <col min="13811" max="13811" width="10.33203125" style="2" customWidth="1"/>
    <col min="13812" max="13812" width="13.33203125" style="2" customWidth="1"/>
    <col min="13813" max="13813" width="5.5546875" style="2" customWidth="1"/>
    <col min="13814" max="13814" width="6.44140625" style="2" customWidth="1"/>
    <col min="13815" max="13815" width="11.6640625" style="2" customWidth="1"/>
    <col min="13816" max="13816" width="10.44140625" style="2" customWidth="1"/>
    <col min="13817" max="13817" width="13.44140625" style="2" customWidth="1"/>
    <col min="13818" max="14063" width="7" style="2"/>
    <col min="14064" max="14064" width="4.109375" style="2" customWidth="1"/>
    <col min="14065" max="14065" width="3.6640625" style="2" customWidth="1"/>
    <col min="14066" max="14066" width="4.88671875" style="2" customWidth="1"/>
    <col min="14067" max="14067" width="10.33203125" style="2" customWidth="1"/>
    <col min="14068" max="14068" width="13.33203125" style="2" customWidth="1"/>
    <col min="14069" max="14069" width="5.5546875" style="2" customWidth="1"/>
    <col min="14070" max="14070" width="6.44140625" style="2" customWidth="1"/>
    <col min="14071" max="14071" width="11.6640625" style="2" customWidth="1"/>
    <col min="14072" max="14072" width="10.44140625" style="2" customWidth="1"/>
    <col min="14073" max="14073" width="13.44140625" style="2" customWidth="1"/>
    <col min="14074" max="14319" width="7" style="2"/>
    <col min="14320" max="14320" width="4.109375" style="2" customWidth="1"/>
    <col min="14321" max="14321" width="3.6640625" style="2" customWidth="1"/>
    <col min="14322" max="14322" width="4.88671875" style="2" customWidth="1"/>
    <col min="14323" max="14323" width="10.33203125" style="2" customWidth="1"/>
    <col min="14324" max="14324" width="13.33203125" style="2" customWidth="1"/>
    <col min="14325" max="14325" width="5.5546875" style="2" customWidth="1"/>
    <col min="14326" max="14326" width="6.44140625" style="2" customWidth="1"/>
    <col min="14327" max="14327" width="11.6640625" style="2" customWidth="1"/>
    <col min="14328" max="14328" width="10.44140625" style="2" customWidth="1"/>
    <col min="14329" max="14329" width="13.44140625" style="2" customWidth="1"/>
    <col min="14330" max="14575" width="7" style="2"/>
    <col min="14576" max="14576" width="4.109375" style="2" customWidth="1"/>
    <col min="14577" max="14577" width="3.6640625" style="2" customWidth="1"/>
    <col min="14578" max="14578" width="4.88671875" style="2" customWidth="1"/>
    <col min="14579" max="14579" width="10.33203125" style="2" customWidth="1"/>
    <col min="14580" max="14580" width="13.33203125" style="2" customWidth="1"/>
    <col min="14581" max="14581" width="5.5546875" style="2" customWidth="1"/>
    <col min="14582" max="14582" width="6.44140625" style="2" customWidth="1"/>
    <col min="14583" max="14583" width="11.6640625" style="2" customWidth="1"/>
    <col min="14584" max="14584" width="10.44140625" style="2" customWidth="1"/>
    <col min="14585" max="14585" width="13.44140625" style="2" customWidth="1"/>
    <col min="14586" max="14831" width="7" style="2"/>
    <col min="14832" max="14832" width="4.109375" style="2" customWidth="1"/>
    <col min="14833" max="14833" width="3.6640625" style="2" customWidth="1"/>
    <col min="14834" max="14834" width="4.88671875" style="2" customWidth="1"/>
    <col min="14835" max="14835" width="10.33203125" style="2" customWidth="1"/>
    <col min="14836" max="14836" width="13.33203125" style="2" customWidth="1"/>
    <col min="14837" max="14837" width="5.5546875" style="2" customWidth="1"/>
    <col min="14838" max="14838" width="6.44140625" style="2" customWidth="1"/>
    <col min="14839" max="14839" width="11.6640625" style="2" customWidth="1"/>
    <col min="14840" max="14840" width="10.44140625" style="2" customWidth="1"/>
    <col min="14841" max="14841" width="13.44140625" style="2" customWidth="1"/>
    <col min="14842" max="15087" width="7" style="2"/>
    <col min="15088" max="15088" width="4.109375" style="2" customWidth="1"/>
    <col min="15089" max="15089" width="3.6640625" style="2" customWidth="1"/>
    <col min="15090" max="15090" width="4.88671875" style="2" customWidth="1"/>
    <col min="15091" max="15091" width="10.33203125" style="2" customWidth="1"/>
    <col min="15092" max="15092" width="13.33203125" style="2" customWidth="1"/>
    <col min="15093" max="15093" width="5.5546875" style="2" customWidth="1"/>
    <col min="15094" max="15094" width="6.44140625" style="2" customWidth="1"/>
    <col min="15095" max="15095" width="11.6640625" style="2" customWidth="1"/>
    <col min="15096" max="15096" width="10.44140625" style="2" customWidth="1"/>
    <col min="15097" max="15097" width="13.44140625" style="2" customWidth="1"/>
    <col min="15098" max="15343" width="7" style="2"/>
    <col min="15344" max="15344" width="4.109375" style="2" customWidth="1"/>
    <col min="15345" max="15345" width="3.6640625" style="2" customWidth="1"/>
    <col min="15346" max="15346" width="4.88671875" style="2" customWidth="1"/>
    <col min="15347" max="15347" width="10.33203125" style="2" customWidth="1"/>
    <col min="15348" max="15348" width="13.33203125" style="2" customWidth="1"/>
    <col min="15349" max="15349" width="5.5546875" style="2" customWidth="1"/>
    <col min="15350" max="15350" width="6.44140625" style="2" customWidth="1"/>
    <col min="15351" max="15351" width="11.6640625" style="2" customWidth="1"/>
    <col min="15352" max="15352" width="10.44140625" style="2" customWidth="1"/>
    <col min="15353" max="15353" width="13.44140625" style="2" customWidth="1"/>
    <col min="15354" max="15599" width="7" style="2"/>
    <col min="15600" max="15600" width="4.109375" style="2" customWidth="1"/>
    <col min="15601" max="15601" width="3.6640625" style="2" customWidth="1"/>
    <col min="15602" max="15602" width="4.88671875" style="2" customWidth="1"/>
    <col min="15603" max="15603" width="10.33203125" style="2" customWidth="1"/>
    <col min="15604" max="15604" width="13.33203125" style="2" customWidth="1"/>
    <col min="15605" max="15605" width="5.5546875" style="2" customWidth="1"/>
    <col min="15606" max="15606" width="6.44140625" style="2" customWidth="1"/>
    <col min="15607" max="15607" width="11.6640625" style="2" customWidth="1"/>
    <col min="15608" max="15608" width="10.44140625" style="2" customWidth="1"/>
    <col min="15609" max="15609" width="13.44140625" style="2" customWidth="1"/>
    <col min="15610" max="15855" width="7" style="2"/>
    <col min="15856" max="15856" width="4.109375" style="2" customWidth="1"/>
    <col min="15857" max="15857" width="3.6640625" style="2" customWidth="1"/>
    <col min="15858" max="15858" width="4.88671875" style="2" customWidth="1"/>
    <col min="15859" max="15859" width="10.33203125" style="2" customWidth="1"/>
    <col min="15860" max="15860" width="13.33203125" style="2" customWidth="1"/>
    <col min="15861" max="15861" width="5.5546875" style="2" customWidth="1"/>
    <col min="15862" max="15862" width="6.44140625" style="2" customWidth="1"/>
    <col min="15863" max="15863" width="11.6640625" style="2" customWidth="1"/>
    <col min="15864" max="15864" width="10.44140625" style="2" customWidth="1"/>
    <col min="15865" max="15865" width="13.44140625" style="2" customWidth="1"/>
    <col min="15866" max="16111" width="7" style="2"/>
    <col min="16112" max="16112" width="4.109375" style="2" customWidth="1"/>
    <col min="16113" max="16113" width="3.6640625" style="2" customWidth="1"/>
    <col min="16114" max="16114" width="4.88671875" style="2" customWidth="1"/>
    <col min="16115" max="16115" width="10.33203125" style="2" customWidth="1"/>
    <col min="16116" max="16116" width="13.33203125" style="2" customWidth="1"/>
    <col min="16117" max="16117" width="5.5546875" style="2" customWidth="1"/>
    <col min="16118" max="16118" width="6.44140625" style="2" customWidth="1"/>
    <col min="16119" max="16119" width="11.6640625" style="2" customWidth="1"/>
    <col min="16120" max="16120" width="10.44140625" style="2" customWidth="1"/>
    <col min="16121" max="16121" width="13.44140625" style="2" customWidth="1"/>
    <col min="16122" max="16384" width="7" style="2"/>
  </cols>
  <sheetData>
    <row r="1" spans="1:14" x14ac:dyDescent="0.3">
      <c r="A1" s="85" t="s">
        <v>0</v>
      </c>
      <c r="B1" s="85" t="s">
        <v>61</v>
      </c>
      <c r="C1" s="86" t="s">
        <v>1733</v>
      </c>
      <c r="D1" s="86" t="s">
        <v>1</v>
      </c>
      <c r="E1" s="86" t="s">
        <v>45</v>
      </c>
      <c r="F1" s="102" t="s">
        <v>58</v>
      </c>
      <c r="G1" s="87" t="s">
        <v>1740</v>
      </c>
      <c r="H1" s="87" t="s">
        <v>1741</v>
      </c>
      <c r="I1" s="87" t="s">
        <v>1742</v>
      </c>
      <c r="J1" s="87" t="s">
        <v>756</v>
      </c>
      <c r="K1" s="87" t="s">
        <v>759</v>
      </c>
      <c r="L1" s="87" t="s">
        <v>760</v>
      </c>
      <c r="M1" s="86" t="s">
        <v>2</v>
      </c>
      <c r="N1" s="86" t="s">
        <v>57</v>
      </c>
    </row>
    <row r="2" spans="1:14" s="4" customFormat="1" ht="37.5" x14ac:dyDescent="0.3">
      <c r="A2" s="35">
        <v>198</v>
      </c>
      <c r="B2" s="97" t="s">
        <v>65</v>
      </c>
      <c r="C2" s="98" t="s">
        <v>753</v>
      </c>
      <c r="D2" s="89" t="s">
        <v>222</v>
      </c>
      <c r="E2" s="89" t="s">
        <v>247</v>
      </c>
      <c r="F2" s="90" t="s">
        <v>933</v>
      </c>
      <c r="G2" s="90"/>
      <c r="H2" s="90"/>
      <c r="I2" s="90"/>
      <c r="J2" s="91">
        <v>49067</v>
      </c>
      <c r="K2" s="91">
        <v>51111</v>
      </c>
      <c r="L2" s="91">
        <v>32711</v>
      </c>
      <c r="M2" s="89" t="s">
        <v>210</v>
      </c>
      <c r="N2" s="89" t="s">
        <v>9</v>
      </c>
    </row>
    <row r="3" spans="1:14" s="4" customFormat="1" ht="37.5" x14ac:dyDescent="0.3">
      <c r="A3" s="35">
        <v>199</v>
      </c>
      <c r="B3" s="97" t="s">
        <v>65</v>
      </c>
      <c r="C3" s="98" t="s">
        <v>753</v>
      </c>
      <c r="D3" s="89" t="s">
        <v>223</v>
      </c>
      <c r="E3" s="89" t="s">
        <v>248</v>
      </c>
      <c r="F3" s="90" t="s">
        <v>934</v>
      </c>
      <c r="G3" s="90"/>
      <c r="H3" s="90"/>
      <c r="I3" s="90"/>
      <c r="J3" s="91">
        <v>34755</v>
      </c>
      <c r="K3" s="91">
        <v>34755</v>
      </c>
      <c r="L3" s="91">
        <v>12267</v>
      </c>
      <c r="M3" s="89" t="s">
        <v>210</v>
      </c>
      <c r="N3" s="89" t="s">
        <v>9</v>
      </c>
    </row>
    <row r="4" spans="1:14" s="4" customFormat="1" ht="37.5" x14ac:dyDescent="0.3">
      <c r="A4" s="35">
        <v>200</v>
      </c>
      <c r="B4" s="97" t="s">
        <v>65</v>
      </c>
      <c r="C4" s="98" t="s">
        <v>753</v>
      </c>
      <c r="D4" s="89" t="s">
        <v>224</v>
      </c>
      <c r="E4" s="89" t="s">
        <v>249</v>
      </c>
      <c r="F4" s="90" t="s">
        <v>935</v>
      </c>
      <c r="G4" s="90"/>
      <c r="H4" s="90"/>
      <c r="I4" s="90"/>
      <c r="J4" s="91">
        <v>34338</v>
      </c>
      <c r="K4" s="91">
        <v>29432</v>
      </c>
      <c r="L4" s="91">
        <v>66222</v>
      </c>
      <c r="M4" s="89" t="s">
        <v>210</v>
      </c>
      <c r="N4" s="89" t="s">
        <v>9</v>
      </c>
    </row>
    <row r="5" spans="1:14" s="4" customFormat="1" ht="37.5" x14ac:dyDescent="0.3">
      <c r="A5" s="35">
        <v>201</v>
      </c>
      <c r="B5" s="97" t="s">
        <v>65</v>
      </c>
      <c r="C5" s="98" t="s">
        <v>753</v>
      </c>
      <c r="D5" s="89" t="s">
        <v>225</v>
      </c>
      <c r="E5" s="89" t="s">
        <v>250</v>
      </c>
      <c r="F5" s="90" t="s">
        <v>936</v>
      </c>
      <c r="G5" s="90"/>
      <c r="H5" s="90"/>
      <c r="I5" s="90"/>
      <c r="J5" s="91">
        <v>38844</v>
      </c>
      <c r="K5" s="91">
        <v>24533</v>
      </c>
      <c r="L5" s="91">
        <v>152922</v>
      </c>
      <c r="M5" s="89" t="s">
        <v>210</v>
      </c>
      <c r="N5" s="89" t="s">
        <v>9</v>
      </c>
    </row>
    <row r="6" spans="1:14" s="4" customFormat="1" ht="37.5" x14ac:dyDescent="0.3">
      <c r="A6" s="35">
        <v>202</v>
      </c>
      <c r="B6" s="97" t="s">
        <v>65</v>
      </c>
      <c r="C6" s="98" t="s">
        <v>753</v>
      </c>
      <c r="D6" s="89" t="s">
        <v>226</v>
      </c>
      <c r="E6" s="89" t="s">
        <v>251</v>
      </c>
      <c r="F6" s="90" t="s">
        <v>937</v>
      </c>
      <c r="G6" s="90"/>
      <c r="H6" s="90"/>
      <c r="I6" s="90"/>
      <c r="J6" s="91">
        <v>108559</v>
      </c>
      <c r="K6" s="91">
        <v>77689</v>
      </c>
      <c r="L6" s="91">
        <v>197284</v>
      </c>
      <c r="M6" s="89" t="s">
        <v>210</v>
      </c>
      <c r="N6" s="89" t="s">
        <v>9</v>
      </c>
    </row>
    <row r="7" spans="1:14" s="4" customFormat="1" ht="37.5" x14ac:dyDescent="0.3">
      <c r="A7" s="35">
        <v>203</v>
      </c>
      <c r="B7" s="97" t="s">
        <v>65</v>
      </c>
      <c r="C7" s="98" t="s">
        <v>753</v>
      </c>
      <c r="D7" s="89" t="s">
        <v>227</v>
      </c>
      <c r="E7" s="89" t="s">
        <v>252</v>
      </c>
      <c r="F7" s="90" t="s">
        <v>938</v>
      </c>
      <c r="G7" s="90"/>
      <c r="H7" s="90"/>
      <c r="I7" s="90"/>
      <c r="J7" s="91"/>
      <c r="K7" s="91"/>
      <c r="L7" s="91"/>
      <c r="M7" s="89" t="s">
        <v>210</v>
      </c>
      <c r="N7" s="89" t="s">
        <v>9</v>
      </c>
    </row>
    <row r="8" spans="1:14" s="4" customFormat="1" ht="37.5" x14ac:dyDescent="0.3">
      <c r="A8" s="35">
        <v>204</v>
      </c>
      <c r="B8" s="97" t="s">
        <v>65</v>
      </c>
      <c r="C8" s="98" t="s">
        <v>753</v>
      </c>
      <c r="D8" s="89" t="s">
        <v>228</v>
      </c>
      <c r="E8" s="89" t="s">
        <v>253</v>
      </c>
      <c r="F8" s="90" t="s">
        <v>939</v>
      </c>
      <c r="G8" s="90"/>
      <c r="H8" s="90"/>
      <c r="I8" s="90"/>
      <c r="J8" s="91">
        <v>44978</v>
      </c>
      <c r="K8" s="91">
        <v>18400</v>
      </c>
      <c r="L8" s="91">
        <v>26578</v>
      </c>
      <c r="M8" s="89" t="s">
        <v>210</v>
      </c>
      <c r="N8" s="89" t="s">
        <v>9</v>
      </c>
    </row>
    <row r="9" spans="1:14" s="4" customFormat="1" ht="37.5" x14ac:dyDescent="0.3">
      <c r="A9" s="35">
        <v>205</v>
      </c>
      <c r="B9" s="97" t="s">
        <v>65</v>
      </c>
      <c r="C9" s="98" t="s">
        <v>753</v>
      </c>
      <c r="D9" s="89" t="s">
        <v>229</v>
      </c>
      <c r="E9" s="89" t="s">
        <v>254</v>
      </c>
      <c r="F9" s="90" t="s">
        <v>940</v>
      </c>
      <c r="G9" s="90"/>
      <c r="H9" s="90"/>
      <c r="I9" s="90"/>
      <c r="J9" s="91">
        <v>34755</v>
      </c>
      <c r="K9" s="91">
        <v>38844</v>
      </c>
      <c r="L9" s="91">
        <v>61333</v>
      </c>
      <c r="M9" s="89" t="s">
        <v>210</v>
      </c>
      <c r="N9" s="89" t="s">
        <v>9</v>
      </c>
    </row>
    <row r="10" spans="1:14" s="4" customFormat="1" ht="37.5" x14ac:dyDescent="0.3">
      <c r="A10" s="35">
        <v>206</v>
      </c>
      <c r="B10" s="97" t="s">
        <v>65</v>
      </c>
      <c r="C10" s="98" t="s">
        <v>753</v>
      </c>
      <c r="D10" s="89" t="s">
        <v>230</v>
      </c>
      <c r="E10" s="89" t="s">
        <v>255</v>
      </c>
      <c r="F10" s="90" t="s">
        <v>941</v>
      </c>
      <c r="G10" s="90"/>
      <c r="H10" s="90"/>
      <c r="I10" s="90"/>
      <c r="J10" s="91">
        <v>22489</v>
      </c>
      <c r="K10" s="91">
        <v>36800</v>
      </c>
      <c r="L10" s="91">
        <v>14311</v>
      </c>
      <c r="M10" s="89" t="s">
        <v>210</v>
      </c>
      <c r="N10" s="89" t="s">
        <v>9</v>
      </c>
    </row>
    <row r="11" spans="1:14" s="4" customFormat="1" ht="37.5" x14ac:dyDescent="0.3">
      <c r="A11" s="35">
        <v>207</v>
      </c>
      <c r="B11" s="97" t="s">
        <v>65</v>
      </c>
      <c r="C11" s="98" t="s">
        <v>753</v>
      </c>
      <c r="D11" s="89" t="s">
        <v>231</v>
      </c>
      <c r="E11" s="89" t="s">
        <v>256</v>
      </c>
      <c r="F11" s="90" t="s">
        <v>942</v>
      </c>
      <c r="G11" s="90"/>
      <c r="H11" s="90"/>
      <c r="I11" s="90"/>
      <c r="J11" s="91">
        <v>24533</v>
      </c>
      <c r="K11" s="91">
        <v>20444</v>
      </c>
      <c r="L11" s="91">
        <v>14311</v>
      </c>
      <c r="M11" s="89" t="s">
        <v>210</v>
      </c>
      <c r="N11" s="89" t="s">
        <v>9</v>
      </c>
    </row>
    <row r="12" spans="1:14" s="4" customFormat="1" ht="37.5" x14ac:dyDescent="0.3">
      <c r="A12" s="35">
        <v>208</v>
      </c>
      <c r="B12" s="97" t="s">
        <v>65</v>
      </c>
      <c r="C12" s="98" t="s">
        <v>753</v>
      </c>
      <c r="D12" s="89" t="s">
        <v>232</v>
      </c>
      <c r="E12" s="89" t="s">
        <v>257</v>
      </c>
      <c r="F12" s="90" t="s">
        <v>943</v>
      </c>
      <c r="G12" s="90"/>
      <c r="H12" s="90"/>
      <c r="I12" s="90"/>
      <c r="J12" s="91">
        <v>94044</v>
      </c>
      <c r="K12" s="91">
        <v>36800</v>
      </c>
      <c r="L12" s="91">
        <v>32711</v>
      </c>
      <c r="M12" s="89" t="s">
        <v>210</v>
      </c>
      <c r="N12" s="89" t="s">
        <v>9</v>
      </c>
    </row>
    <row r="13" spans="1:14" s="4" customFormat="1" ht="37.5" x14ac:dyDescent="0.3">
      <c r="A13" s="35">
        <v>209</v>
      </c>
      <c r="B13" s="97" t="s">
        <v>65</v>
      </c>
      <c r="C13" s="98" t="s">
        <v>753</v>
      </c>
      <c r="D13" s="89" t="s">
        <v>233</v>
      </c>
      <c r="E13" s="89" t="s">
        <v>258</v>
      </c>
      <c r="F13" s="90" t="s">
        <v>944</v>
      </c>
      <c r="G13" s="90"/>
      <c r="H13" s="90"/>
      <c r="I13" s="90"/>
      <c r="J13" s="91">
        <v>114897</v>
      </c>
      <c r="K13" s="91">
        <v>163484</v>
      </c>
      <c r="L13" s="91">
        <v>112784</v>
      </c>
      <c r="M13" s="89" t="s">
        <v>210</v>
      </c>
      <c r="N13" s="89" t="s">
        <v>9</v>
      </c>
    </row>
    <row r="14" spans="1:14" s="4" customFormat="1" ht="37.5" x14ac:dyDescent="0.3">
      <c r="A14" s="35">
        <v>210</v>
      </c>
      <c r="B14" s="97" t="s">
        <v>65</v>
      </c>
      <c r="C14" s="98" t="s">
        <v>753</v>
      </c>
      <c r="D14" s="89" t="s">
        <v>234</v>
      </c>
      <c r="E14" s="89" t="s">
        <v>259</v>
      </c>
      <c r="F14" s="90" t="s">
        <v>945</v>
      </c>
      <c r="G14" s="90"/>
      <c r="H14" s="90"/>
      <c r="I14" s="90"/>
      <c r="J14" s="91">
        <v>34755</v>
      </c>
      <c r="K14" s="91">
        <v>40889</v>
      </c>
      <c r="L14" s="91">
        <v>14311</v>
      </c>
      <c r="M14" s="89" t="s">
        <v>210</v>
      </c>
      <c r="N14" s="89" t="s">
        <v>9</v>
      </c>
    </row>
    <row r="15" spans="1:14" s="148" customFormat="1" x14ac:dyDescent="0.3">
      <c r="B15" s="149"/>
      <c r="C15" s="50"/>
      <c r="D15" s="50"/>
      <c r="E15" s="50"/>
      <c r="F15" s="146" t="s">
        <v>1743</v>
      </c>
      <c r="G15" s="151">
        <v>1157346</v>
      </c>
      <c r="H15" s="151">
        <v>683784</v>
      </c>
      <c r="I15" s="151">
        <v>573525</v>
      </c>
      <c r="J15" s="147">
        <f>SUM(J2:J14)</f>
        <v>636014</v>
      </c>
      <c r="K15" s="147">
        <f>SUM(K2:K14)</f>
        <v>573181</v>
      </c>
      <c r="L15" s="147">
        <f>SUM(L2:L14)</f>
        <v>737745</v>
      </c>
      <c r="M15" s="50"/>
      <c r="N15" s="50"/>
    </row>
    <row r="16" spans="1:14" ht="48.75" customHeight="1" x14ac:dyDescent="0.3">
      <c r="F16" s="152" t="s">
        <v>1744</v>
      </c>
      <c r="G16" s="191">
        <f>SUM(G15:L15)</f>
        <v>4361595</v>
      </c>
      <c r="H16" s="192"/>
      <c r="I16" s="192"/>
      <c r="J16" s="192"/>
      <c r="K16" s="192"/>
      <c r="L16" s="192"/>
    </row>
  </sheetData>
  <mergeCells count="1">
    <mergeCell ref="G16:L16"/>
  </mergeCells>
  <pageMargins left="0.7" right="0.7" top="0.75" bottom="0.75" header="0.3" footer="0.3"/>
  <pageSetup paperSize="8" scale="39" fitToHeight="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B360EE-B7EB-401B-84C5-D5333038DBD0}">
  <sheetPr codeName="Sheet9"/>
  <dimension ref="A1:AJ1130"/>
  <sheetViews>
    <sheetView topLeftCell="B94" workbookViewId="0"/>
  </sheetViews>
  <sheetFormatPr defaultRowHeight="16.5" x14ac:dyDescent="0.25"/>
  <cols>
    <col min="1" max="1" width="0" hidden="1" customWidth="1"/>
    <col min="2" max="2" width="11.5546875" customWidth="1"/>
    <col min="3" max="3" width="11.44140625" hidden="1" customWidth="1"/>
    <col min="4" max="4" width="13.5546875" hidden="1" customWidth="1"/>
    <col min="5" max="5" width="62.6640625" bestFit="1" customWidth="1"/>
    <col min="6" max="6" width="61.33203125" bestFit="1" customWidth="1"/>
    <col min="7" max="7" width="61.33203125" hidden="1" customWidth="1"/>
    <col min="8" max="8" width="11.6640625" bestFit="1" customWidth="1"/>
    <col min="9" max="9" width="10" hidden="1" customWidth="1"/>
    <col min="10" max="14" width="8.88671875" hidden="1" customWidth="1"/>
    <col min="15" max="15" width="8.5546875" bestFit="1" customWidth="1"/>
    <col min="16" max="16" width="8.88671875" hidden="1" customWidth="1"/>
    <col min="17" max="17" width="10.109375" hidden="1" customWidth="1"/>
    <col min="18" max="20" width="8.88671875" hidden="1" customWidth="1"/>
    <col min="21" max="21" width="13.21875" bestFit="1" customWidth="1"/>
    <col min="22" max="26" width="0" hidden="1" customWidth="1"/>
    <col min="28" max="28" width="81.5546875" style="114" hidden="1" customWidth="1"/>
    <col min="29" max="29" width="16.21875" style="115" customWidth="1"/>
    <col min="31" max="31" width="8.88671875" style="139"/>
    <col min="32" max="32" width="11.109375" bestFit="1" customWidth="1"/>
    <col min="33" max="33" width="67.109375" style="42" hidden="1" customWidth="1"/>
    <col min="34" max="34" width="29.109375" bestFit="1" customWidth="1"/>
    <col min="35" max="35" width="4.33203125" style="141" bestFit="1" customWidth="1"/>
    <col min="36" max="36" width="16.5546875" bestFit="1" customWidth="1"/>
  </cols>
  <sheetData>
    <row r="1" spans="1:36" s="117" customFormat="1" ht="50.25" customHeight="1" x14ac:dyDescent="0.25">
      <c r="A1" s="117" t="s">
        <v>1152</v>
      </c>
      <c r="B1" s="42" t="s">
        <v>1153</v>
      </c>
      <c r="C1" s="117" t="s">
        <v>1154</v>
      </c>
      <c r="D1" s="117" t="s">
        <v>1155</v>
      </c>
      <c r="E1" s="117" t="s">
        <v>1156</v>
      </c>
      <c r="F1" s="117" t="s">
        <v>1157</v>
      </c>
      <c r="G1" s="117" t="s">
        <v>1158</v>
      </c>
      <c r="H1" s="117" t="s">
        <v>1159</v>
      </c>
      <c r="I1" s="117" t="s">
        <v>1160</v>
      </c>
      <c r="J1" s="117" t="s">
        <v>1161</v>
      </c>
      <c r="K1" s="117" t="s">
        <v>1162</v>
      </c>
      <c r="L1" s="117" t="s">
        <v>1163</v>
      </c>
      <c r="M1" s="117" t="s">
        <v>1164</v>
      </c>
      <c r="N1" s="117" t="s">
        <v>1165</v>
      </c>
      <c r="O1" s="117" t="s">
        <v>1166</v>
      </c>
      <c r="P1" s="117" t="s">
        <v>1167</v>
      </c>
      <c r="Q1" s="117" t="s">
        <v>1168</v>
      </c>
      <c r="R1" s="117" t="s">
        <v>1169</v>
      </c>
      <c r="S1" s="117" t="s">
        <v>1170</v>
      </c>
      <c r="T1" s="117" t="s">
        <v>1171</v>
      </c>
      <c r="U1" s="42" t="s">
        <v>1172</v>
      </c>
      <c r="V1" s="117" t="s">
        <v>1173</v>
      </c>
      <c r="W1" s="117" t="s">
        <v>1174</v>
      </c>
      <c r="X1" s="117" t="s">
        <v>1175</v>
      </c>
      <c r="Y1" s="117" t="s">
        <v>1176</v>
      </c>
      <c r="AB1" s="193" t="s">
        <v>1706</v>
      </c>
      <c r="AC1" s="193"/>
      <c r="AD1" s="193"/>
      <c r="AE1" s="118"/>
      <c r="AF1" s="194" t="s">
        <v>1707</v>
      </c>
      <c r="AG1" s="194"/>
      <c r="AH1" s="194"/>
      <c r="AI1" s="194"/>
      <c r="AJ1" s="194"/>
    </row>
    <row r="2" spans="1:36" ht="18.75" x14ac:dyDescent="0.25">
      <c r="A2" s="105" t="s">
        <v>1177</v>
      </c>
      <c r="B2" s="112" t="s">
        <v>215</v>
      </c>
      <c r="C2" s="112" t="s">
        <v>215</v>
      </c>
      <c r="D2" s="105" t="s">
        <v>1178</v>
      </c>
      <c r="E2" s="105" t="s">
        <v>65</v>
      </c>
      <c r="F2" s="105" t="s">
        <v>1179</v>
      </c>
      <c r="G2" s="105" t="s">
        <v>1179</v>
      </c>
      <c r="H2" s="105" t="s">
        <v>240</v>
      </c>
      <c r="I2" s="105" t="s">
        <v>1180</v>
      </c>
      <c r="J2" s="106">
        <v>45511</v>
      </c>
      <c r="K2" s="105"/>
      <c r="L2" s="105" t="s">
        <v>1181</v>
      </c>
      <c r="M2" s="105" t="s">
        <v>1182</v>
      </c>
      <c r="N2" s="106">
        <v>27861</v>
      </c>
      <c r="O2" s="119" t="s">
        <v>1150</v>
      </c>
      <c r="P2" s="105" t="s">
        <v>1183</v>
      </c>
      <c r="Q2" s="105" t="s">
        <v>1184</v>
      </c>
      <c r="R2" s="106">
        <v>44375</v>
      </c>
      <c r="S2" s="105" t="s">
        <v>1185</v>
      </c>
      <c r="T2" s="105" t="s">
        <v>1186</v>
      </c>
      <c r="U2" s="107" t="s">
        <v>1187</v>
      </c>
      <c r="V2" s="108">
        <v>45668</v>
      </c>
      <c r="W2">
        <v>3800405138</v>
      </c>
      <c r="X2" s="105" t="s">
        <v>1188</v>
      </c>
      <c r="Y2" s="109">
        <v>45861</v>
      </c>
      <c r="AB2" s="116" t="str">
        <f t="shared" ref="AB2:AB33" si="0">VLOOKUP(B2,$AF$2:$AJ$303,2,0)</f>
        <v>CÔNG TY CỔ PHẦN PHÁT TRIỂN HẠ TẦNG KỸ THUẬT BECAMEX - BÌNH PHƯỚC</v>
      </c>
      <c r="AC2" s="116" t="str">
        <f t="shared" ref="AC2:AC33" si="1">VLOOKUP(C2,$AF$2:$AJ$303,3,0)</f>
        <v>Căn 7 lô TĐC-44</v>
      </c>
      <c r="AD2" s="120">
        <f>VLOOKUP(C2,$AF$2:$AJ$303,4,0)</f>
        <v>98</v>
      </c>
      <c r="AE2" s="121"/>
      <c r="AF2" s="122" t="s">
        <v>5</v>
      </c>
      <c r="AG2" s="123" t="s">
        <v>68</v>
      </c>
      <c r="AH2" s="123" t="s">
        <v>6</v>
      </c>
      <c r="AI2" s="124">
        <v>1</v>
      </c>
      <c r="AJ2" s="125"/>
    </row>
    <row r="3" spans="1:36" ht="18.75" x14ac:dyDescent="0.25">
      <c r="A3" s="105" t="s">
        <v>1177</v>
      </c>
      <c r="B3" s="112" t="s">
        <v>299</v>
      </c>
      <c r="C3" s="112" t="s">
        <v>299</v>
      </c>
      <c r="D3" s="105" t="s">
        <v>1189</v>
      </c>
      <c r="E3" s="105" t="s">
        <v>65</v>
      </c>
      <c r="F3" s="105" t="s">
        <v>1190</v>
      </c>
      <c r="G3" s="105" t="s">
        <v>1190</v>
      </c>
      <c r="H3" s="105" t="s">
        <v>1191</v>
      </c>
      <c r="I3" s="105" t="s">
        <v>1192</v>
      </c>
      <c r="J3" s="106">
        <v>45549</v>
      </c>
      <c r="K3" s="105"/>
      <c r="L3" s="105" t="s">
        <v>1181</v>
      </c>
      <c r="M3" s="105" t="s">
        <v>1182</v>
      </c>
      <c r="N3" s="106">
        <v>27861</v>
      </c>
      <c r="O3" s="119" t="s">
        <v>1150</v>
      </c>
      <c r="P3" s="105" t="s">
        <v>1183</v>
      </c>
      <c r="Q3" s="105" t="s">
        <v>1184</v>
      </c>
      <c r="R3" s="106">
        <v>44375</v>
      </c>
      <c r="S3" s="105" t="s">
        <v>1185</v>
      </c>
      <c r="T3" s="105" t="s">
        <v>1186</v>
      </c>
      <c r="U3" s="107" t="s">
        <v>1187</v>
      </c>
      <c r="V3" s="108">
        <v>45668</v>
      </c>
      <c r="W3">
        <v>3800405138</v>
      </c>
      <c r="X3" s="105" t="s">
        <v>1188</v>
      </c>
      <c r="Y3" s="109">
        <v>45861</v>
      </c>
      <c r="AB3" s="116" t="str">
        <f t="shared" si="0"/>
        <v>CÔNG TY CỔ PHẦN PHÁT TRIỂN HẠ TẦNG KỸ THUẬT BECAMEX - BÌNH PHƯỚC</v>
      </c>
      <c r="AC3" s="116" t="str">
        <f t="shared" si="1"/>
        <v>Căn 46 lô AM-16</v>
      </c>
      <c r="AD3" s="120">
        <f t="shared" ref="AD3:AD66" si="2">VLOOKUP(C3,$AF$2:$AJ$303,4,0)</f>
        <v>177</v>
      </c>
      <c r="AE3" s="121"/>
      <c r="AF3" s="122" t="s">
        <v>3</v>
      </c>
      <c r="AG3" s="123" t="s">
        <v>68</v>
      </c>
      <c r="AH3" s="123" t="s">
        <v>174</v>
      </c>
      <c r="AI3" s="124">
        <v>2</v>
      </c>
      <c r="AJ3" s="125"/>
    </row>
    <row r="4" spans="1:36" ht="18.75" x14ac:dyDescent="0.25">
      <c r="A4" s="105" t="s">
        <v>1177</v>
      </c>
      <c r="B4" s="112" t="s">
        <v>295</v>
      </c>
      <c r="C4" s="112" t="s">
        <v>295</v>
      </c>
      <c r="D4" s="105" t="s">
        <v>1193</v>
      </c>
      <c r="E4" s="105" t="s">
        <v>65</v>
      </c>
      <c r="F4" s="105" t="s">
        <v>1194</v>
      </c>
      <c r="G4" s="105" t="s">
        <v>1194</v>
      </c>
      <c r="H4" s="105" t="s">
        <v>1195</v>
      </c>
      <c r="I4" s="105" t="s">
        <v>1192</v>
      </c>
      <c r="J4" s="106">
        <v>45549</v>
      </c>
      <c r="K4" s="105"/>
      <c r="L4" s="105" t="s">
        <v>1181</v>
      </c>
      <c r="M4" s="105" t="s">
        <v>1182</v>
      </c>
      <c r="N4" s="106">
        <v>27861</v>
      </c>
      <c r="O4" s="119" t="s">
        <v>1150</v>
      </c>
      <c r="P4" s="105" t="s">
        <v>1183</v>
      </c>
      <c r="Q4" s="105" t="s">
        <v>1184</v>
      </c>
      <c r="R4" s="106">
        <v>44375</v>
      </c>
      <c r="S4" s="105" t="s">
        <v>1185</v>
      </c>
      <c r="T4" s="105" t="s">
        <v>1186</v>
      </c>
      <c r="U4" s="107" t="s">
        <v>1187</v>
      </c>
      <c r="V4" s="108">
        <v>45668</v>
      </c>
      <c r="W4">
        <v>3800405138</v>
      </c>
      <c r="X4" s="105" t="s">
        <v>1188</v>
      </c>
      <c r="Y4" s="109">
        <v>45861</v>
      </c>
      <c r="AB4" s="116" t="str">
        <f t="shared" si="0"/>
        <v>CÔNG TY CỔ PHẦN PHÁT TRIỂN HẠ TẦNG KỸ THUẬT BECAMEX - BÌNH PHƯỚC</v>
      </c>
      <c r="AC4" s="116" t="str">
        <f t="shared" si="1"/>
        <v>Căn 30 lô AM-16</v>
      </c>
      <c r="AD4" s="120">
        <f t="shared" si="2"/>
        <v>161</v>
      </c>
      <c r="AE4" s="121"/>
      <c r="AF4" s="122" t="s">
        <v>14</v>
      </c>
      <c r="AG4" s="123" t="s">
        <v>65</v>
      </c>
      <c r="AH4" s="123" t="s">
        <v>15</v>
      </c>
      <c r="AI4" s="124">
        <v>3</v>
      </c>
      <c r="AJ4" s="123"/>
    </row>
    <row r="5" spans="1:36" ht="18.75" x14ac:dyDescent="0.25">
      <c r="A5" s="105" t="s">
        <v>1177</v>
      </c>
      <c r="B5" s="112" t="s">
        <v>607</v>
      </c>
      <c r="C5" s="112" t="s">
        <v>607</v>
      </c>
      <c r="D5" s="105" t="s">
        <v>1196</v>
      </c>
      <c r="E5" s="105" t="s">
        <v>65</v>
      </c>
      <c r="F5" s="105" t="s">
        <v>1197</v>
      </c>
      <c r="G5" s="105" t="s">
        <v>1197</v>
      </c>
      <c r="H5" s="105" t="s">
        <v>1198</v>
      </c>
      <c r="I5" s="105" t="s">
        <v>1192</v>
      </c>
      <c r="J5" s="106">
        <v>45549</v>
      </c>
      <c r="K5" s="105"/>
      <c r="L5" s="105" t="s">
        <v>1181</v>
      </c>
      <c r="M5" s="105" t="s">
        <v>1182</v>
      </c>
      <c r="N5" s="106">
        <v>27861</v>
      </c>
      <c r="O5" s="119" t="s">
        <v>1150</v>
      </c>
      <c r="P5" s="105" t="s">
        <v>1183</v>
      </c>
      <c r="Q5" s="105" t="s">
        <v>1184</v>
      </c>
      <c r="R5" s="106">
        <v>44375</v>
      </c>
      <c r="S5" s="105" t="s">
        <v>1185</v>
      </c>
      <c r="T5" s="105" t="s">
        <v>1186</v>
      </c>
      <c r="U5" s="107" t="s">
        <v>1187</v>
      </c>
      <c r="V5" s="108">
        <v>45668</v>
      </c>
      <c r="W5">
        <v>3800405138</v>
      </c>
      <c r="X5" s="105" t="s">
        <v>1188</v>
      </c>
      <c r="Y5" s="109">
        <v>45861</v>
      </c>
      <c r="AB5" s="116" t="str">
        <f t="shared" si="0"/>
        <v>CÔNG TY CỔ PHẦN PHÁT TRIỂN HẠ TẦNG KỸ THUẬT BECAMEX - BÌNH PHƯỚC</v>
      </c>
      <c r="AC5" s="116" t="str">
        <f t="shared" si="1"/>
        <v>Căn 65 lô AM-16</v>
      </c>
      <c r="AD5" s="120">
        <f t="shared" si="2"/>
        <v>196</v>
      </c>
      <c r="AE5" s="121"/>
      <c r="AF5" s="122" t="s">
        <v>7</v>
      </c>
      <c r="AG5" s="123" t="s">
        <v>68</v>
      </c>
      <c r="AH5" s="123" t="s">
        <v>754</v>
      </c>
      <c r="AI5" s="124">
        <v>4</v>
      </c>
      <c r="AJ5" s="125"/>
    </row>
    <row r="6" spans="1:36" ht="18.75" x14ac:dyDescent="0.25">
      <c r="A6" s="105" t="s">
        <v>1177</v>
      </c>
      <c r="B6" s="112" t="s">
        <v>308</v>
      </c>
      <c r="C6" s="112" t="s">
        <v>308</v>
      </c>
      <c r="D6" s="105" t="s">
        <v>1199</v>
      </c>
      <c r="E6" s="105" t="s">
        <v>65</v>
      </c>
      <c r="F6" s="105" t="s">
        <v>1200</v>
      </c>
      <c r="G6" s="105" t="s">
        <v>1200</v>
      </c>
      <c r="H6" s="105" t="s">
        <v>1201</v>
      </c>
      <c r="I6" s="105" t="s">
        <v>1192</v>
      </c>
      <c r="J6" s="106">
        <v>45551</v>
      </c>
      <c r="K6" s="105"/>
      <c r="L6" s="105" t="s">
        <v>1181</v>
      </c>
      <c r="M6" s="105" t="s">
        <v>1182</v>
      </c>
      <c r="N6" s="106">
        <v>27861</v>
      </c>
      <c r="O6" s="119" t="s">
        <v>1150</v>
      </c>
      <c r="P6" s="105" t="s">
        <v>1183</v>
      </c>
      <c r="Q6" s="105" t="s">
        <v>1184</v>
      </c>
      <c r="R6" s="106">
        <v>44375</v>
      </c>
      <c r="S6" s="105" t="s">
        <v>1185</v>
      </c>
      <c r="T6" s="105" t="s">
        <v>1186</v>
      </c>
      <c r="U6" s="107" t="s">
        <v>1187</v>
      </c>
      <c r="V6" s="108">
        <v>45668</v>
      </c>
      <c r="W6">
        <v>3800405138</v>
      </c>
      <c r="X6" s="105" t="s">
        <v>1188</v>
      </c>
      <c r="Y6" s="109">
        <v>45861</v>
      </c>
      <c r="AB6" s="116" t="str">
        <f t="shared" si="0"/>
        <v>CÔNG TY CỔ PHẦN PHÁT TRIỂN HẠ TẦNG KỸ THUẬT BECAMEX - BÌNH PHƯỚC</v>
      </c>
      <c r="AC6" s="116" t="str">
        <f t="shared" si="1"/>
        <v>Căn 75 lô AM-16</v>
      </c>
      <c r="AD6" s="120">
        <f t="shared" si="2"/>
        <v>206</v>
      </c>
      <c r="AE6" s="121"/>
      <c r="AF6" s="122" t="s">
        <v>10</v>
      </c>
      <c r="AG6" s="123" t="s">
        <v>68</v>
      </c>
      <c r="AH6" s="123" t="s">
        <v>755</v>
      </c>
      <c r="AI6" s="124">
        <v>5</v>
      </c>
      <c r="AJ6" s="125"/>
    </row>
    <row r="7" spans="1:36" ht="18.75" x14ac:dyDescent="0.25">
      <c r="A7" s="105" t="s">
        <v>1177</v>
      </c>
      <c r="B7" s="112" t="s">
        <v>105</v>
      </c>
      <c r="C7" s="112" t="s">
        <v>105</v>
      </c>
      <c r="D7" s="105" t="s">
        <v>1202</v>
      </c>
      <c r="E7" s="105" t="s">
        <v>135</v>
      </c>
      <c r="F7" s="105" t="s">
        <v>1203</v>
      </c>
      <c r="G7" s="105" t="s">
        <v>1203</v>
      </c>
      <c r="H7" s="105" t="s">
        <v>1204</v>
      </c>
      <c r="I7" s="105" t="s">
        <v>1205</v>
      </c>
      <c r="J7" s="106">
        <v>45090</v>
      </c>
      <c r="K7" s="105"/>
      <c r="L7" s="105" t="s">
        <v>1181</v>
      </c>
      <c r="M7" s="105" t="s">
        <v>1182</v>
      </c>
      <c r="N7" s="106">
        <v>27861</v>
      </c>
      <c r="O7" s="119" t="s">
        <v>1150</v>
      </c>
      <c r="P7" s="105" t="s">
        <v>1183</v>
      </c>
      <c r="Q7" s="105" t="s">
        <v>1184</v>
      </c>
      <c r="R7" s="106">
        <v>44375</v>
      </c>
      <c r="S7" s="105" t="s">
        <v>1185</v>
      </c>
      <c r="T7" s="105" t="s">
        <v>1186</v>
      </c>
      <c r="U7" s="107" t="s">
        <v>1187</v>
      </c>
      <c r="V7" s="108">
        <v>45668</v>
      </c>
      <c r="W7">
        <v>3800405138</v>
      </c>
      <c r="X7" s="105" t="s">
        <v>1188</v>
      </c>
      <c r="Y7" s="109">
        <v>45861</v>
      </c>
      <c r="AB7" s="116" t="str">
        <f t="shared" si="0"/>
        <v>CÔNG TY CỔ PHẦN PHÁT TRIỂN HẠ TẦNG KỸ THUẬT BECAMEX-BÌNH PHƯỚC(47 Lô TDC-31)</v>
      </c>
      <c r="AC7" s="116" t="str">
        <f t="shared" si="1"/>
        <v>Căn 47 lô TĐC-31</v>
      </c>
      <c r="AD7" s="120">
        <f t="shared" si="2"/>
        <v>82</v>
      </c>
      <c r="AE7" s="121"/>
      <c r="AF7" s="122" t="s">
        <v>20</v>
      </c>
      <c r="AG7" s="123" t="s">
        <v>68</v>
      </c>
      <c r="AH7" s="123" t="s">
        <v>209</v>
      </c>
      <c r="AI7" s="124">
        <v>6</v>
      </c>
      <c r="AJ7" s="125"/>
    </row>
    <row r="8" spans="1:36" ht="18.75" x14ac:dyDescent="0.25">
      <c r="A8" s="105" t="s">
        <v>1177</v>
      </c>
      <c r="B8" s="142" t="s">
        <v>1206</v>
      </c>
      <c r="C8" s="112" t="s">
        <v>1206</v>
      </c>
      <c r="D8" s="105" t="s">
        <v>1207</v>
      </c>
      <c r="E8" s="105" t="s">
        <v>1208</v>
      </c>
      <c r="F8" s="119" t="s">
        <v>1712</v>
      </c>
      <c r="G8" s="105" t="s">
        <v>1203</v>
      </c>
      <c r="H8" s="105" t="s">
        <v>1209</v>
      </c>
      <c r="I8" s="143" t="s">
        <v>1210</v>
      </c>
      <c r="J8" s="106">
        <v>45652</v>
      </c>
      <c r="K8" s="105"/>
      <c r="L8" s="105" t="s">
        <v>1181</v>
      </c>
      <c r="M8" s="105" t="s">
        <v>1182</v>
      </c>
      <c r="N8" s="106">
        <v>27861</v>
      </c>
      <c r="O8" s="119" t="s">
        <v>1150</v>
      </c>
      <c r="P8" s="105" t="s">
        <v>1183</v>
      </c>
      <c r="Q8" s="105" t="s">
        <v>1184</v>
      </c>
      <c r="R8" s="106">
        <v>44375</v>
      </c>
      <c r="S8" s="105" t="s">
        <v>1185</v>
      </c>
      <c r="T8" s="105" t="s">
        <v>1186</v>
      </c>
      <c r="U8" s="107" t="s">
        <v>1187</v>
      </c>
      <c r="V8" s="108">
        <v>45668</v>
      </c>
      <c r="W8">
        <v>3800405138</v>
      </c>
      <c r="X8" s="105" t="s">
        <v>1188</v>
      </c>
      <c r="Y8" s="109">
        <v>45861</v>
      </c>
      <c r="AB8" s="116" t="e">
        <f t="shared" si="0"/>
        <v>#N/A</v>
      </c>
      <c r="AC8" s="126" t="e">
        <f t="shared" si="1"/>
        <v>#N/A</v>
      </c>
      <c r="AD8" s="144" t="e">
        <f t="shared" si="2"/>
        <v>#N/A</v>
      </c>
      <c r="AE8" s="121"/>
      <c r="AF8" s="122" t="s">
        <v>21</v>
      </c>
      <c r="AG8" s="123" t="s">
        <v>68</v>
      </c>
      <c r="AH8" s="123" t="s">
        <v>73</v>
      </c>
      <c r="AI8" s="124">
        <v>7</v>
      </c>
      <c r="AJ8" s="125"/>
    </row>
    <row r="9" spans="1:36" ht="18.75" x14ac:dyDescent="0.25">
      <c r="A9" s="105" t="s">
        <v>1177</v>
      </c>
      <c r="B9" s="112" t="s">
        <v>310</v>
      </c>
      <c r="C9" s="112" t="s">
        <v>310</v>
      </c>
      <c r="D9" s="105" t="s">
        <v>1211</v>
      </c>
      <c r="E9" s="105" t="s">
        <v>65</v>
      </c>
      <c r="F9" s="105" t="s">
        <v>1212</v>
      </c>
      <c r="G9" s="105" t="s">
        <v>1212</v>
      </c>
      <c r="H9" s="105" t="s">
        <v>1213</v>
      </c>
      <c r="I9" s="105" t="s">
        <v>1192</v>
      </c>
      <c r="J9" s="106">
        <v>45551</v>
      </c>
      <c r="K9" s="105"/>
      <c r="L9" s="105" t="s">
        <v>1181</v>
      </c>
      <c r="M9" s="105" t="s">
        <v>1182</v>
      </c>
      <c r="N9" s="106">
        <v>27861</v>
      </c>
      <c r="O9" s="119" t="s">
        <v>1150</v>
      </c>
      <c r="P9" s="105" t="s">
        <v>1183</v>
      </c>
      <c r="Q9" s="105" t="s">
        <v>1184</v>
      </c>
      <c r="R9" s="106">
        <v>44375</v>
      </c>
      <c r="S9" s="105" t="s">
        <v>1185</v>
      </c>
      <c r="T9" s="105" t="s">
        <v>1186</v>
      </c>
      <c r="U9" s="107" t="s">
        <v>1187</v>
      </c>
      <c r="V9" s="108">
        <v>45668</v>
      </c>
      <c r="W9">
        <v>3800405138</v>
      </c>
      <c r="X9" s="105" t="s">
        <v>1188</v>
      </c>
      <c r="Y9" s="109">
        <v>45861</v>
      </c>
      <c r="AB9" s="116" t="str">
        <f t="shared" si="0"/>
        <v>CÔNG TY CỔ PHẦN PHÁT TRIỂN HẠ TẦNG KỸ THUẬT BECAMEX - BÌNH PHƯỚC</v>
      </c>
      <c r="AC9" s="116" t="str">
        <f t="shared" si="1"/>
        <v>Căn 73 lô AM-16</v>
      </c>
      <c r="AD9" s="120">
        <f t="shared" si="2"/>
        <v>204</v>
      </c>
      <c r="AE9" s="121"/>
      <c r="AF9" s="122" t="s">
        <v>22</v>
      </c>
      <c r="AG9" s="123" t="s">
        <v>68</v>
      </c>
      <c r="AH9" s="123" t="s">
        <v>72</v>
      </c>
      <c r="AI9" s="124">
        <v>8</v>
      </c>
      <c r="AJ9" s="125"/>
    </row>
    <row r="10" spans="1:36" ht="18.75" x14ac:dyDescent="0.25">
      <c r="A10" s="105" t="s">
        <v>1177</v>
      </c>
      <c r="B10" s="112" t="s">
        <v>329</v>
      </c>
      <c r="C10" s="112" t="s">
        <v>329</v>
      </c>
      <c r="D10" s="105" t="s">
        <v>1214</v>
      </c>
      <c r="E10" s="105" t="s">
        <v>65</v>
      </c>
      <c r="F10" s="105" t="s">
        <v>1215</v>
      </c>
      <c r="G10" s="105" t="s">
        <v>1215</v>
      </c>
      <c r="H10" s="105" t="s">
        <v>1216</v>
      </c>
      <c r="I10" s="105" t="s">
        <v>1192</v>
      </c>
      <c r="J10" s="106">
        <v>45551</v>
      </c>
      <c r="K10" s="105"/>
      <c r="L10" s="105" t="s">
        <v>1181</v>
      </c>
      <c r="M10" s="105" t="s">
        <v>1182</v>
      </c>
      <c r="N10" s="106">
        <v>27861</v>
      </c>
      <c r="O10" s="119" t="s">
        <v>1150</v>
      </c>
      <c r="P10" s="105" t="s">
        <v>1183</v>
      </c>
      <c r="Q10" s="105" t="s">
        <v>1184</v>
      </c>
      <c r="R10" s="106">
        <v>44375</v>
      </c>
      <c r="S10" s="105" t="s">
        <v>1185</v>
      </c>
      <c r="T10" s="105" t="s">
        <v>1186</v>
      </c>
      <c r="U10" s="107" t="s">
        <v>1187</v>
      </c>
      <c r="V10" s="108">
        <v>45668</v>
      </c>
      <c r="W10">
        <v>3800405138</v>
      </c>
      <c r="X10" s="105" t="s">
        <v>1188</v>
      </c>
      <c r="Y10" s="109">
        <v>45861</v>
      </c>
      <c r="AB10" s="116" t="str">
        <f t="shared" si="0"/>
        <v>CÔNG TY CỔ PHẦN PHÁT TRIỂN HẠ TẦNG KỸ THUẬT BECAMEX - BÌNH PHƯỚC</v>
      </c>
      <c r="AC10" s="116" t="str">
        <f t="shared" si="1"/>
        <v>Căn 54 lô AM-16</v>
      </c>
      <c r="AD10" s="120">
        <f t="shared" si="2"/>
        <v>185</v>
      </c>
      <c r="AE10" s="121"/>
      <c r="AF10" s="122" t="s">
        <v>23</v>
      </c>
      <c r="AG10" s="123" t="s">
        <v>68</v>
      </c>
      <c r="AH10" s="123" t="s">
        <v>1118</v>
      </c>
      <c r="AI10" s="124">
        <v>9</v>
      </c>
      <c r="AJ10" s="125"/>
    </row>
    <row r="11" spans="1:36" ht="18.75" x14ac:dyDescent="0.25">
      <c r="A11" s="105" t="s">
        <v>1177</v>
      </c>
      <c r="B11" s="142" t="s">
        <v>1217</v>
      </c>
      <c r="C11" s="112" t="s">
        <v>1217</v>
      </c>
      <c r="D11" s="105" t="s">
        <v>1218</v>
      </c>
      <c r="E11" s="105" t="s">
        <v>1208</v>
      </c>
      <c r="F11" s="119" t="s">
        <v>1713</v>
      </c>
      <c r="G11" s="105" t="s">
        <v>1203</v>
      </c>
      <c r="H11" s="105" t="s">
        <v>1219</v>
      </c>
      <c r="I11" s="143" t="s">
        <v>1210</v>
      </c>
      <c r="J11" s="106">
        <v>45652</v>
      </c>
      <c r="K11" s="105"/>
      <c r="L11" s="105" t="s">
        <v>1181</v>
      </c>
      <c r="M11" s="105" t="s">
        <v>1182</v>
      </c>
      <c r="N11" s="106">
        <v>27861</v>
      </c>
      <c r="O11" s="119" t="s">
        <v>1150</v>
      </c>
      <c r="P11" s="105" t="s">
        <v>1183</v>
      </c>
      <c r="Q11" s="105" t="s">
        <v>1184</v>
      </c>
      <c r="R11" s="106">
        <v>44375</v>
      </c>
      <c r="S11" s="105" t="s">
        <v>1185</v>
      </c>
      <c r="T11" s="105" t="s">
        <v>1186</v>
      </c>
      <c r="U11" s="107" t="s">
        <v>1187</v>
      </c>
      <c r="V11" s="108">
        <v>45668</v>
      </c>
      <c r="W11">
        <v>3800405138</v>
      </c>
      <c r="X11" s="105" t="s">
        <v>1188</v>
      </c>
      <c r="Y11" s="109">
        <v>45861</v>
      </c>
      <c r="AB11" s="116" t="e">
        <f t="shared" si="0"/>
        <v>#N/A</v>
      </c>
      <c r="AC11" s="126" t="e">
        <f t="shared" si="1"/>
        <v>#N/A</v>
      </c>
      <c r="AD11" s="144" t="e">
        <f t="shared" si="2"/>
        <v>#N/A</v>
      </c>
      <c r="AE11" s="121"/>
      <c r="AF11" s="122" t="s">
        <v>24</v>
      </c>
      <c r="AG11" s="123" t="s">
        <v>68</v>
      </c>
      <c r="AH11" s="123" t="s">
        <v>70</v>
      </c>
      <c r="AI11" s="124">
        <v>10</v>
      </c>
      <c r="AJ11" s="125"/>
    </row>
    <row r="12" spans="1:36" ht="18.75" x14ac:dyDescent="0.25">
      <c r="A12" s="105" t="s">
        <v>1177</v>
      </c>
      <c r="B12" s="112" t="s">
        <v>354</v>
      </c>
      <c r="C12" s="112" t="s">
        <v>354</v>
      </c>
      <c r="D12" s="105" t="s">
        <v>1220</v>
      </c>
      <c r="E12" s="105" t="s">
        <v>65</v>
      </c>
      <c r="F12" s="105" t="s">
        <v>1221</v>
      </c>
      <c r="G12" s="105" t="s">
        <v>1221</v>
      </c>
      <c r="H12" s="105" t="s">
        <v>1222</v>
      </c>
      <c r="I12" s="105" t="s">
        <v>1192</v>
      </c>
      <c r="J12" s="106">
        <v>45551</v>
      </c>
      <c r="K12" s="105"/>
      <c r="L12" s="105" t="s">
        <v>1181</v>
      </c>
      <c r="M12" s="105" t="s">
        <v>1182</v>
      </c>
      <c r="N12" s="106">
        <v>27861</v>
      </c>
      <c r="O12" s="119" t="s">
        <v>1150</v>
      </c>
      <c r="P12" s="105" t="s">
        <v>1183</v>
      </c>
      <c r="Q12" s="105" t="s">
        <v>1184</v>
      </c>
      <c r="R12" s="106">
        <v>44375</v>
      </c>
      <c r="S12" s="105" t="s">
        <v>1185</v>
      </c>
      <c r="T12" s="105" t="s">
        <v>1186</v>
      </c>
      <c r="U12" s="107" t="s">
        <v>1187</v>
      </c>
      <c r="V12" s="108">
        <v>45668</v>
      </c>
      <c r="W12">
        <v>3800405138</v>
      </c>
      <c r="X12" s="105" t="s">
        <v>1188</v>
      </c>
      <c r="Y12" s="109">
        <v>45861</v>
      </c>
      <c r="AB12" s="116" t="str">
        <f t="shared" si="0"/>
        <v>CÔNG TY CỔ PHẦN PHÁT TRIỂN HẠ TẦNG KỸ THUẬT BECAMEX - BÌNH PHƯỚC</v>
      </c>
      <c r="AC12" s="116" t="str">
        <f t="shared" si="1"/>
        <v>Căn 08 lô AM-16</v>
      </c>
      <c r="AD12" s="120">
        <f t="shared" si="2"/>
        <v>139</v>
      </c>
      <c r="AE12" s="121"/>
      <c r="AF12" s="122" t="s">
        <v>25</v>
      </c>
      <c r="AG12" s="123" t="s">
        <v>65</v>
      </c>
      <c r="AH12" s="123" t="s">
        <v>1125</v>
      </c>
      <c r="AI12" s="124">
        <v>11</v>
      </c>
      <c r="AJ12" s="125"/>
    </row>
    <row r="13" spans="1:36" ht="18.75" x14ac:dyDescent="0.25">
      <c r="A13" s="105" t="s">
        <v>1177</v>
      </c>
      <c r="B13" s="142" t="s">
        <v>1223</v>
      </c>
      <c r="C13" s="112" t="s">
        <v>1223</v>
      </c>
      <c r="D13" s="105" t="s">
        <v>1224</v>
      </c>
      <c r="E13" s="105" t="s">
        <v>1208</v>
      </c>
      <c r="F13" s="119" t="s">
        <v>1714</v>
      </c>
      <c r="G13" s="105" t="s">
        <v>1203</v>
      </c>
      <c r="H13" s="105" t="s">
        <v>1225</v>
      </c>
      <c r="I13" s="105" t="s">
        <v>1210</v>
      </c>
      <c r="J13" s="106">
        <v>45652</v>
      </c>
      <c r="K13" s="105"/>
      <c r="L13" s="105" t="s">
        <v>1181</v>
      </c>
      <c r="M13" s="105" t="s">
        <v>1182</v>
      </c>
      <c r="N13" s="106">
        <v>27861</v>
      </c>
      <c r="O13" s="119" t="s">
        <v>1150</v>
      </c>
      <c r="P13" s="105" t="s">
        <v>1183</v>
      </c>
      <c r="Q13" s="105" t="s">
        <v>1184</v>
      </c>
      <c r="R13" s="106">
        <v>44375</v>
      </c>
      <c r="S13" s="105" t="s">
        <v>1185</v>
      </c>
      <c r="T13" s="105" t="s">
        <v>1186</v>
      </c>
      <c r="U13" s="107" t="s">
        <v>1187</v>
      </c>
      <c r="V13" s="108">
        <v>45668</v>
      </c>
      <c r="W13">
        <v>3800405138</v>
      </c>
      <c r="X13" s="105" t="s">
        <v>1188</v>
      </c>
      <c r="Y13" s="109">
        <v>45861</v>
      </c>
      <c r="AB13" s="116" t="e">
        <f t="shared" si="0"/>
        <v>#N/A</v>
      </c>
      <c r="AC13" s="126" t="e">
        <f t="shared" si="1"/>
        <v>#N/A</v>
      </c>
      <c r="AD13" s="144" t="e">
        <f t="shared" si="2"/>
        <v>#N/A</v>
      </c>
      <c r="AE13" s="121"/>
      <c r="AF13" s="127" t="s">
        <v>17</v>
      </c>
      <c r="AG13" s="123" t="s">
        <v>65</v>
      </c>
      <c r="AH13" s="128" t="s">
        <v>64</v>
      </c>
      <c r="AI13" s="124">
        <v>12</v>
      </c>
      <c r="AJ13" s="123"/>
    </row>
    <row r="14" spans="1:36" ht="18.75" x14ac:dyDescent="0.25">
      <c r="A14" s="105" t="s">
        <v>1177</v>
      </c>
      <c r="B14" s="112" t="s">
        <v>213</v>
      </c>
      <c r="C14" s="112" t="s">
        <v>213</v>
      </c>
      <c r="D14" s="105" t="s">
        <v>1226</v>
      </c>
      <c r="E14" s="105" t="s">
        <v>65</v>
      </c>
      <c r="F14" s="105" t="s">
        <v>1227</v>
      </c>
      <c r="G14" s="105" t="s">
        <v>1227</v>
      </c>
      <c r="H14" s="105" t="s">
        <v>238</v>
      </c>
      <c r="I14" s="105" t="s">
        <v>1180</v>
      </c>
      <c r="J14" s="106">
        <v>45511</v>
      </c>
      <c r="K14" s="105"/>
      <c r="L14" s="105" t="s">
        <v>1181</v>
      </c>
      <c r="M14" s="105" t="s">
        <v>1182</v>
      </c>
      <c r="N14" s="106">
        <v>27861</v>
      </c>
      <c r="O14" s="119" t="s">
        <v>1150</v>
      </c>
      <c r="P14" s="105" t="s">
        <v>1183</v>
      </c>
      <c r="Q14" s="105" t="s">
        <v>1184</v>
      </c>
      <c r="R14" s="106">
        <v>44375</v>
      </c>
      <c r="S14" s="105" t="s">
        <v>1185</v>
      </c>
      <c r="T14" s="105" t="s">
        <v>1186</v>
      </c>
      <c r="U14" s="107" t="s">
        <v>1187</v>
      </c>
      <c r="V14" s="108">
        <v>45668</v>
      </c>
      <c r="W14">
        <v>3800405138</v>
      </c>
      <c r="X14" s="105" t="s">
        <v>1188</v>
      </c>
      <c r="Y14" s="109">
        <v>45861</v>
      </c>
      <c r="AB14" s="116" t="str">
        <f t="shared" si="0"/>
        <v>CÔNG TY CỔ PHẦN PHÁT TRIỂN HẠ TẦNG KỸ THUẬT BECAMEX - BÌNH PHƯỚC</v>
      </c>
      <c r="AC14" s="116" t="str">
        <f t="shared" si="1"/>
        <v>Căn 5 lô TĐC-44</v>
      </c>
      <c r="AD14" s="120">
        <f t="shared" si="2"/>
        <v>96</v>
      </c>
      <c r="AE14" s="121"/>
      <c r="AF14" s="113" t="s">
        <v>26</v>
      </c>
      <c r="AG14" s="111" t="s">
        <v>65</v>
      </c>
      <c r="AH14" s="111" t="s">
        <v>71</v>
      </c>
      <c r="AI14" s="104">
        <v>13</v>
      </c>
      <c r="AJ14" s="110"/>
    </row>
    <row r="15" spans="1:36" ht="18.75" x14ac:dyDescent="0.25">
      <c r="A15" s="105" t="s">
        <v>1177</v>
      </c>
      <c r="B15" s="112" t="s">
        <v>292</v>
      </c>
      <c r="C15" s="112" t="s">
        <v>292</v>
      </c>
      <c r="D15" s="105" t="s">
        <v>1228</v>
      </c>
      <c r="E15" s="105" t="s">
        <v>65</v>
      </c>
      <c r="F15" s="105" t="s">
        <v>1229</v>
      </c>
      <c r="G15" s="105" t="s">
        <v>1229</v>
      </c>
      <c r="H15" s="105" t="s">
        <v>1230</v>
      </c>
      <c r="I15" s="105" t="s">
        <v>1192</v>
      </c>
      <c r="J15" s="106">
        <v>45549</v>
      </c>
      <c r="K15" s="105"/>
      <c r="L15" s="105" t="s">
        <v>1181</v>
      </c>
      <c r="M15" s="105" t="s">
        <v>1182</v>
      </c>
      <c r="N15" s="106">
        <v>27861</v>
      </c>
      <c r="O15" s="119" t="s">
        <v>1150</v>
      </c>
      <c r="P15" s="105" t="s">
        <v>1183</v>
      </c>
      <c r="Q15" s="105" t="s">
        <v>1184</v>
      </c>
      <c r="R15" s="106">
        <v>44375</v>
      </c>
      <c r="S15" s="105" t="s">
        <v>1185</v>
      </c>
      <c r="T15" s="105" t="s">
        <v>1186</v>
      </c>
      <c r="U15" s="107" t="s">
        <v>1187</v>
      </c>
      <c r="V15" s="108">
        <v>45668</v>
      </c>
      <c r="W15">
        <v>3800405138</v>
      </c>
      <c r="X15" s="105" t="s">
        <v>1188</v>
      </c>
      <c r="Y15" s="109">
        <v>45861</v>
      </c>
      <c r="AB15" s="116" t="str">
        <f t="shared" si="0"/>
        <v>CÔNG TY CỔ PHẦN PHÁT TRIỂN HẠ TẦNG KỸ THUẬT BECAMEX - BÌNH PHƯỚC</v>
      </c>
      <c r="AC15" s="116" t="str">
        <f t="shared" si="1"/>
        <v>Căn 27 lô AM-16</v>
      </c>
      <c r="AD15" s="120">
        <f t="shared" si="2"/>
        <v>158</v>
      </c>
      <c r="AE15" s="121"/>
      <c r="AF15" s="122" t="s">
        <v>27</v>
      </c>
      <c r="AG15" s="123" t="s">
        <v>764</v>
      </c>
      <c r="AH15" s="123" t="s">
        <v>74</v>
      </c>
      <c r="AI15" s="124">
        <v>14</v>
      </c>
      <c r="AJ15" s="125"/>
    </row>
    <row r="16" spans="1:36" ht="18.75" x14ac:dyDescent="0.25">
      <c r="A16" s="105" t="s">
        <v>1177</v>
      </c>
      <c r="B16" s="142" t="s">
        <v>1231</v>
      </c>
      <c r="C16" s="112" t="s">
        <v>1231</v>
      </c>
      <c r="D16" s="105" t="s">
        <v>1232</v>
      </c>
      <c r="E16" s="105" t="s">
        <v>1208</v>
      </c>
      <c r="F16" s="119" t="s">
        <v>1715</v>
      </c>
      <c r="G16" s="105" t="s">
        <v>1203</v>
      </c>
      <c r="H16" s="105" t="s">
        <v>1233</v>
      </c>
      <c r="I16" s="143" t="s">
        <v>1210</v>
      </c>
      <c r="J16" s="106">
        <v>45652</v>
      </c>
      <c r="K16" s="105"/>
      <c r="L16" s="105" t="s">
        <v>1181</v>
      </c>
      <c r="M16" s="105" t="s">
        <v>1182</v>
      </c>
      <c r="N16" s="106">
        <v>27861</v>
      </c>
      <c r="O16" s="119" t="s">
        <v>1150</v>
      </c>
      <c r="P16" s="105" t="s">
        <v>1183</v>
      </c>
      <c r="Q16" s="105" t="s">
        <v>1184</v>
      </c>
      <c r="R16" s="106">
        <v>44375</v>
      </c>
      <c r="S16" s="105" t="s">
        <v>1185</v>
      </c>
      <c r="T16" s="105" t="s">
        <v>1186</v>
      </c>
      <c r="U16" s="107" t="s">
        <v>1187</v>
      </c>
      <c r="V16" s="108">
        <v>45668</v>
      </c>
      <c r="W16">
        <v>3800405138</v>
      </c>
      <c r="X16" s="105" t="s">
        <v>1188</v>
      </c>
      <c r="Y16" s="109">
        <v>45861</v>
      </c>
      <c r="AB16" s="116" t="e">
        <f t="shared" si="0"/>
        <v>#N/A</v>
      </c>
      <c r="AC16" s="126" t="e">
        <f t="shared" si="1"/>
        <v>#N/A</v>
      </c>
      <c r="AD16" s="144" t="e">
        <f t="shared" si="2"/>
        <v>#N/A</v>
      </c>
      <c r="AE16" s="121"/>
      <c r="AF16" s="122" t="s">
        <v>28</v>
      </c>
      <c r="AG16" s="123" t="s">
        <v>65</v>
      </c>
      <c r="AH16" s="123" t="s">
        <v>75</v>
      </c>
      <c r="AI16" s="124">
        <v>15</v>
      </c>
      <c r="AJ16" s="125"/>
    </row>
    <row r="17" spans="1:36" ht="18.75" x14ac:dyDescent="0.25">
      <c r="A17" s="105" t="s">
        <v>1177</v>
      </c>
      <c r="B17" s="112" t="s">
        <v>326</v>
      </c>
      <c r="C17" s="112" t="s">
        <v>326</v>
      </c>
      <c r="D17" s="105" t="s">
        <v>1234</v>
      </c>
      <c r="E17" s="105" t="s">
        <v>65</v>
      </c>
      <c r="F17" s="105" t="s">
        <v>1235</v>
      </c>
      <c r="G17" s="105" t="s">
        <v>1235</v>
      </c>
      <c r="H17" s="105" t="s">
        <v>1236</v>
      </c>
      <c r="I17" s="105" t="s">
        <v>1192</v>
      </c>
      <c r="J17" s="106">
        <v>45551</v>
      </c>
      <c r="K17" s="105"/>
      <c r="L17" s="105" t="s">
        <v>1181</v>
      </c>
      <c r="M17" s="105" t="s">
        <v>1182</v>
      </c>
      <c r="N17" s="106">
        <v>27861</v>
      </c>
      <c r="O17" s="119" t="s">
        <v>1150</v>
      </c>
      <c r="P17" s="105" t="s">
        <v>1183</v>
      </c>
      <c r="Q17" s="105" t="s">
        <v>1184</v>
      </c>
      <c r="R17" s="106">
        <v>44375</v>
      </c>
      <c r="S17" s="105" t="s">
        <v>1185</v>
      </c>
      <c r="T17" s="105" t="s">
        <v>1186</v>
      </c>
      <c r="U17" s="107" t="s">
        <v>1187</v>
      </c>
      <c r="V17" s="108">
        <v>45668</v>
      </c>
      <c r="W17">
        <v>3800405138</v>
      </c>
      <c r="X17" s="105" t="s">
        <v>1188</v>
      </c>
      <c r="Y17" s="109">
        <v>45861</v>
      </c>
      <c r="AB17" s="116" t="str">
        <f t="shared" si="0"/>
        <v>CÔNG TY CỔ PHẦN PHÁT TRIỂN HẠ TẦNG KỸ THUẬT BECAMEX - BÌNH PHƯỚC</v>
      </c>
      <c r="AC17" s="116" t="str">
        <f t="shared" si="1"/>
        <v>Căn 57 lô AM-16</v>
      </c>
      <c r="AD17" s="120">
        <f t="shared" si="2"/>
        <v>188</v>
      </c>
      <c r="AE17" s="121"/>
      <c r="AF17" s="122" t="s">
        <v>29</v>
      </c>
      <c r="AG17" s="123" t="s">
        <v>65</v>
      </c>
      <c r="AH17" s="123" t="s">
        <v>59</v>
      </c>
      <c r="AI17" s="124">
        <v>16</v>
      </c>
      <c r="AJ17" s="125"/>
    </row>
    <row r="18" spans="1:36" ht="18.75" x14ac:dyDescent="0.25">
      <c r="A18" s="105" t="s">
        <v>1177</v>
      </c>
      <c r="B18" s="112" t="s">
        <v>171</v>
      </c>
      <c r="C18" s="112" t="s">
        <v>171</v>
      </c>
      <c r="D18" s="105" t="s">
        <v>1237</v>
      </c>
      <c r="E18" s="105" t="s">
        <v>1238</v>
      </c>
      <c r="F18" s="105" t="s">
        <v>1239</v>
      </c>
      <c r="G18" s="105" t="s">
        <v>1239</v>
      </c>
      <c r="H18" s="105" t="s">
        <v>1240</v>
      </c>
      <c r="I18" s="105" t="s">
        <v>1205</v>
      </c>
      <c r="J18" s="106">
        <v>44519</v>
      </c>
      <c r="K18" s="105"/>
      <c r="L18" s="105" t="s">
        <v>1181</v>
      </c>
      <c r="M18" s="105" t="s">
        <v>1182</v>
      </c>
      <c r="N18" s="106">
        <v>27861</v>
      </c>
      <c r="O18" s="119" t="s">
        <v>1150</v>
      </c>
      <c r="P18" s="105" t="s">
        <v>1183</v>
      </c>
      <c r="Q18" s="105" t="s">
        <v>1184</v>
      </c>
      <c r="R18" s="106">
        <v>44375</v>
      </c>
      <c r="S18" s="105" t="s">
        <v>1185</v>
      </c>
      <c r="T18" s="105" t="s">
        <v>1186</v>
      </c>
      <c r="U18" s="107" t="s">
        <v>1187</v>
      </c>
      <c r="V18" s="108">
        <v>45668</v>
      </c>
      <c r="W18">
        <v>3800405138</v>
      </c>
      <c r="X18" s="105" t="s">
        <v>1188</v>
      </c>
      <c r="Y18" s="109">
        <v>45861</v>
      </c>
      <c r="AB18" s="116" t="str">
        <f t="shared" si="0"/>
        <v>CÔNG TY CỔ PHẦN PHÁT TRIỂN HẠ TẦNG KỸ THUẬT BECAMEX - BÌNH PHƯỚC</v>
      </c>
      <c r="AC18" s="116" t="str">
        <f t="shared" si="1"/>
        <v>Căn 23 lô TĐC-31</v>
      </c>
      <c r="AD18" s="120">
        <f t="shared" si="2"/>
        <v>62</v>
      </c>
      <c r="AE18" s="121"/>
      <c r="AF18" s="122" t="s">
        <v>30</v>
      </c>
      <c r="AG18" s="123" t="s">
        <v>65</v>
      </c>
      <c r="AH18" s="123" t="s">
        <v>69</v>
      </c>
      <c r="AI18" s="124">
        <v>17</v>
      </c>
      <c r="AJ18" s="125"/>
    </row>
    <row r="19" spans="1:36" ht="18.75" x14ac:dyDescent="0.25">
      <c r="A19" s="105" t="s">
        <v>1177</v>
      </c>
      <c r="B19" s="112" t="s">
        <v>622</v>
      </c>
      <c r="C19" s="112" t="s">
        <v>622</v>
      </c>
      <c r="D19" s="105" t="s">
        <v>1241</v>
      </c>
      <c r="E19" s="105" t="s">
        <v>65</v>
      </c>
      <c r="F19" s="105" t="s">
        <v>1242</v>
      </c>
      <c r="G19" s="105" t="s">
        <v>1242</v>
      </c>
      <c r="H19" s="105" t="s">
        <v>1243</v>
      </c>
      <c r="I19" s="105" t="s">
        <v>1192</v>
      </c>
      <c r="J19" s="106">
        <v>45549</v>
      </c>
      <c r="K19" s="105"/>
      <c r="L19" s="105" t="s">
        <v>1181</v>
      </c>
      <c r="M19" s="105" t="s">
        <v>1182</v>
      </c>
      <c r="N19" s="106">
        <v>27861</v>
      </c>
      <c r="O19" s="119" t="s">
        <v>1150</v>
      </c>
      <c r="P19" s="105" t="s">
        <v>1183</v>
      </c>
      <c r="Q19" s="105" t="s">
        <v>1184</v>
      </c>
      <c r="R19" s="106">
        <v>44375</v>
      </c>
      <c r="S19" s="105" t="s">
        <v>1185</v>
      </c>
      <c r="T19" s="105" t="s">
        <v>1186</v>
      </c>
      <c r="U19" s="107" t="s">
        <v>1187</v>
      </c>
      <c r="V19" s="108">
        <v>45668</v>
      </c>
      <c r="W19">
        <v>3800405138</v>
      </c>
      <c r="X19" s="105" t="s">
        <v>1188</v>
      </c>
      <c r="Y19" s="109">
        <v>45861</v>
      </c>
      <c r="AB19" s="116" t="str">
        <f t="shared" si="0"/>
        <v>CÔNG TY CỔ PHẦN PHÁT TRIỂN HẠ TẦNG KỸ THUẬT BECAMEX - BÌNH PHƯỚC</v>
      </c>
      <c r="AC19" s="116" t="str">
        <f t="shared" si="1"/>
        <v>Căn 31 lô AM-16</v>
      </c>
      <c r="AD19" s="120">
        <f t="shared" si="2"/>
        <v>162</v>
      </c>
      <c r="AE19" s="121"/>
      <c r="AF19" s="122" t="s">
        <v>31</v>
      </c>
      <c r="AG19" s="123" t="s">
        <v>65</v>
      </c>
      <c r="AH19" s="123" t="s">
        <v>76</v>
      </c>
      <c r="AI19" s="124">
        <v>18</v>
      </c>
      <c r="AJ19" s="125"/>
    </row>
    <row r="20" spans="1:36" ht="18.75" x14ac:dyDescent="0.25">
      <c r="A20" s="105" t="s">
        <v>1177</v>
      </c>
      <c r="B20" s="112" t="s">
        <v>92</v>
      </c>
      <c r="C20" s="112" t="s">
        <v>92</v>
      </c>
      <c r="D20" s="105" t="s">
        <v>1244</v>
      </c>
      <c r="E20" s="105" t="s">
        <v>122</v>
      </c>
      <c r="F20" s="105" t="s">
        <v>1203</v>
      </c>
      <c r="G20" s="105" t="s">
        <v>1203</v>
      </c>
      <c r="H20" s="105" t="s">
        <v>1245</v>
      </c>
      <c r="I20" s="105" t="s">
        <v>1205</v>
      </c>
      <c r="J20" s="106">
        <v>45090</v>
      </c>
      <c r="K20" s="105"/>
      <c r="L20" s="105" t="s">
        <v>1181</v>
      </c>
      <c r="M20" s="105" t="s">
        <v>1182</v>
      </c>
      <c r="N20" s="106">
        <v>27861</v>
      </c>
      <c r="O20" s="119" t="s">
        <v>1150</v>
      </c>
      <c r="P20" s="105" t="s">
        <v>1183</v>
      </c>
      <c r="Q20" s="105" t="s">
        <v>1184</v>
      </c>
      <c r="R20" s="106">
        <v>44375</v>
      </c>
      <c r="S20" s="105" t="s">
        <v>1185</v>
      </c>
      <c r="T20" s="105" t="s">
        <v>1186</v>
      </c>
      <c r="U20" s="107" t="s">
        <v>1187</v>
      </c>
      <c r="V20" s="108">
        <v>45668</v>
      </c>
      <c r="W20">
        <v>3800405138</v>
      </c>
      <c r="X20" s="105" t="s">
        <v>1188</v>
      </c>
      <c r="Y20" s="109">
        <v>45861</v>
      </c>
      <c r="AB20" s="116" t="str">
        <f t="shared" si="0"/>
        <v>CÔNG TY CỔ PHẦN PHÁT TRIỂN HẠ TẦNG KỸ THUẬT BECAMEX-BÌNH PHƯỚC(32 Lô TDC-31)</v>
      </c>
      <c r="AC20" s="116" t="str">
        <f t="shared" si="1"/>
        <v>Căn 32 lô TĐC-31</v>
      </c>
      <c r="AD20" s="120">
        <f t="shared" si="2"/>
        <v>67</v>
      </c>
      <c r="AE20" s="121"/>
      <c r="AF20" s="122" t="s">
        <v>32</v>
      </c>
      <c r="AG20" s="123" t="s">
        <v>65</v>
      </c>
      <c r="AH20" s="123" t="s">
        <v>1119</v>
      </c>
      <c r="AI20" s="124">
        <v>19</v>
      </c>
      <c r="AJ20" s="125"/>
    </row>
    <row r="21" spans="1:36" ht="18.75" x14ac:dyDescent="0.25">
      <c r="A21" s="105" t="s">
        <v>1177</v>
      </c>
      <c r="B21" s="112" t="s">
        <v>353</v>
      </c>
      <c r="C21" s="112" t="s">
        <v>353</v>
      </c>
      <c r="D21" s="105" t="s">
        <v>1246</v>
      </c>
      <c r="E21" s="105" t="s">
        <v>65</v>
      </c>
      <c r="F21" s="105" t="s">
        <v>1247</v>
      </c>
      <c r="G21" s="105" t="s">
        <v>1247</v>
      </c>
      <c r="H21" s="105" t="s">
        <v>1248</v>
      </c>
      <c r="I21" s="105" t="s">
        <v>1192</v>
      </c>
      <c r="J21" s="106">
        <v>45551</v>
      </c>
      <c r="K21" s="105"/>
      <c r="L21" s="105" t="s">
        <v>1181</v>
      </c>
      <c r="M21" s="105" t="s">
        <v>1182</v>
      </c>
      <c r="N21" s="106">
        <v>27861</v>
      </c>
      <c r="O21" s="119" t="s">
        <v>1150</v>
      </c>
      <c r="P21" s="105" t="s">
        <v>1183</v>
      </c>
      <c r="Q21" s="105" t="s">
        <v>1184</v>
      </c>
      <c r="R21" s="106">
        <v>44375</v>
      </c>
      <c r="S21" s="105" t="s">
        <v>1185</v>
      </c>
      <c r="T21" s="105" t="s">
        <v>1186</v>
      </c>
      <c r="U21" s="107" t="s">
        <v>1187</v>
      </c>
      <c r="V21" s="108">
        <v>45668</v>
      </c>
      <c r="W21">
        <v>3800405138</v>
      </c>
      <c r="X21" s="105" t="s">
        <v>1188</v>
      </c>
      <c r="Y21" s="109">
        <v>45861</v>
      </c>
      <c r="AB21" s="116" t="str">
        <f t="shared" si="0"/>
        <v>CÔNG TY CỔ PHẦN PHÁT TRIỂN HẠ TẦNG KỸ THUẬT BECAMEX - BÌNH PHƯỚC</v>
      </c>
      <c r="AC21" s="116" t="str">
        <f t="shared" si="1"/>
        <v>Căn 09 lô AM-16</v>
      </c>
      <c r="AD21" s="120">
        <f t="shared" si="2"/>
        <v>140</v>
      </c>
      <c r="AE21" s="121"/>
      <c r="AF21" s="122" t="s">
        <v>33</v>
      </c>
      <c r="AG21" s="123" t="s">
        <v>765</v>
      </c>
      <c r="AH21" s="123" t="s">
        <v>52</v>
      </c>
      <c r="AI21" s="124">
        <v>20</v>
      </c>
      <c r="AJ21" s="125"/>
    </row>
    <row r="22" spans="1:36" ht="18.75" x14ac:dyDescent="0.25">
      <c r="A22" s="105" t="s">
        <v>1177</v>
      </c>
      <c r="B22" s="112" t="s">
        <v>170</v>
      </c>
      <c r="C22" s="112" t="s">
        <v>170</v>
      </c>
      <c r="D22" s="105" t="s">
        <v>1249</v>
      </c>
      <c r="E22" s="105" t="s">
        <v>1250</v>
      </c>
      <c r="F22" s="105" t="s">
        <v>1251</v>
      </c>
      <c r="G22" s="105" t="s">
        <v>1251</v>
      </c>
      <c r="H22" s="105" t="s">
        <v>1252</v>
      </c>
      <c r="I22" s="105" t="s">
        <v>1205</v>
      </c>
      <c r="J22" s="106">
        <v>44519</v>
      </c>
      <c r="K22" s="105"/>
      <c r="L22" s="105" t="s">
        <v>1181</v>
      </c>
      <c r="M22" s="105" t="s">
        <v>1182</v>
      </c>
      <c r="N22" s="106">
        <v>27861</v>
      </c>
      <c r="O22" s="119" t="s">
        <v>1150</v>
      </c>
      <c r="P22" s="105" t="s">
        <v>1183</v>
      </c>
      <c r="Q22" s="105" t="s">
        <v>1184</v>
      </c>
      <c r="R22" s="106">
        <v>44375</v>
      </c>
      <c r="S22" s="105" t="s">
        <v>1185</v>
      </c>
      <c r="T22" s="105" t="s">
        <v>1186</v>
      </c>
      <c r="U22" s="107" t="s">
        <v>1187</v>
      </c>
      <c r="V22" s="108">
        <v>45668</v>
      </c>
      <c r="W22">
        <v>3800405138</v>
      </c>
      <c r="X22" s="105" t="s">
        <v>1188</v>
      </c>
      <c r="Y22" s="109">
        <v>45861</v>
      </c>
      <c r="AB22" s="116" t="str">
        <f t="shared" si="0"/>
        <v>CÔNG TY CỔ PHẦN PHÁT TRIỂN HẠ TẦNG KỸ THUẬT BECAMEX - BÌNH PHƯỚC</v>
      </c>
      <c r="AC22" s="116" t="str">
        <f t="shared" si="1"/>
        <v>Căn 22 lô TĐC-31</v>
      </c>
      <c r="AD22" s="120">
        <f t="shared" si="2"/>
        <v>61</v>
      </c>
      <c r="AE22" s="121"/>
      <c r="AF22" s="122" t="s">
        <v>34</v>
      </c>
      <c r="AG22" s="123" t="s">
        <v>766</v>
      </c>
      <c r="AH22" s="123" t="s">
        <v>51</v>
      </c>
      <c r="AI22" s="124">
        <v>21</v>
      </c>
      <c r="AJ22" s="125"/>
    </row>
    <row r="23" spans="1:36" ht="18.75" x14ac:dyDescent="0.25">
      <c r="A23" s="105" t="s">
        <v>1177</v>
      </c>
      <c r="B23" s="142" t="s">
        <v>1253</v>
      </c>
      <c r="C23" s="112" t="s">
        <v>1253</v>
      </c>
      <c r="D23" s="105" t="s">
        <v>1254</v>
      </c>
      <c r="E23" s="105" t="s">
        <v>1208</v>
      </c>
      <c r="F23" s="119" t="s">
        <v>1716</v>
      </c>
      <c r="G23" s="105" t="s">
        <v>1203</v>
      </c>
      <c r="H23" s="105" t="s">
        <v>1255</v>
      </c>
      <c r="I23" s="143" t="s">
        <v>1210</v>
      </c>
      <c r="J23" s="106">
        <v>45652</v>
      </c>
      <c r="K23" s="105"/>
      <c r="L23" s="105" t="s">
        <v>1181</v>
      </c>
      <c r="M23" s="105" t="s">
        <v>1182</v>
      </c>
      <c r="N23" s="106">
        <v>27861</v>
      </c>
      <c r="O23" s="119" t="s">
        <v>1150</v>
      </c>
      <c r="P23" s="105" t="s">
        <v>1183</v>
      </c>
      <c r="Q23" s="105" t="s">
        <v>1184</v>
      </c>
      <c r="R23" s="106">
        <v>44375</v>
      </c>
      <c r="S23" s="105" t="s">
        <v>1185</v>
      </c>
      <c r="T23" s="105" t="s">
        <v>1186</v>
      </c>
      <c r="U23" s="107" t="s">
        <v>1187</v>
      </c>
      <c r="V23" s="108">
        <v>45668</v>
      </c>
      <c r="W23">
        <v>3800405138</v>
      </c>
      <c r="X23" s="105" t="s">
        <v>1188</v>
      </c>
      <c r="Y23" s="109">
        <v>45861</v>
      </c>
      <c r="AB23" s="116" t="e">
        <f t="shared" si="0"/>
        <v>#N/A</v>
      </c>
      <c r="AC23" s="126" t="e">
        <f t="shared" si="1"/>
        <v>#N/A</v>
      </c>
      <c r="AD23" s="144" t="e">
        <f t="shared" si="2"/>
        <v>#N/A</v>
      </c>
      <c r="AE23" s="121"/>
      <c r="AF23" s="122" t="s">
        <v>35</v>
      </c>
      <c r="AG23" s="123" t="s">
        <v>767</v>
      </c>
      <c r="AH23" s="123" t="s">
        <v>50</v>
      </c>
      <c r="AI23" s="124">
        <v>22</v>
      </c>
      <c r="AJ23" s="125"/>
    </row>
    <row r="24" spans="1:36" ht="18.75" x14ac:dyDescent="0.25">
      <c r="A24" s="105" t="s">
        <v>1177</v>
      </c>
      <c r="B24" s="112" t="s">
        <v>104</v>
      </c>
      <c r="C24" s="112" t="s">
        <v>104</v>
      </c>
      <c r="D24" s="105" t="s">
        <v>1256</v>
      </c>
      <c r="E24" s="105" t="s">
        <v>134</v>
      </c>
      <c r="F24" s="105" t="s">
        <v>1203</v>
      </c>
      <c r="G24" s="105" t="s">
        <v>1203</v>
      </c>
      <c r="H24" s="105" t="s">
        <v>1257</v>
      </c>
      <c r="I24" s="105" t="s">
        <v>1205</v>
      </c>
      <c r="J24" s="106">
        <v>45090</v>
      </c>
      <c r="K24" s="105"/>
      <c r="L24" s="105" t="s">
        <v>1181</v>
      </c>
      <c r="M24" s="105" t="s">
        <v>1182</v>
      </c>
      <c r="N24" s="106">
        <v>27861</v>
      </c>
      <c r="O24" s="119" t="s">
        <v>1150</v>
      </c>
      <c r="P24" s="105" t="s">
        <v>1183</v>
      </c>
      <c r="Q24" s="105" t="s">
        <v>1184</v>
      </c>
      <c r="R24" s="106">
        <v>44375</v>
      </c>
      <c r="S24" s="105" t="s">
        <v>1185</v>
      </c>
      <c r="T24" s="105" t="s">
        <v>1186</v>
      </c>
      <c r="U24" s="107" t="s">
        <v>1187</v>
      </c>
      <c r="V24" s="108">
        <v>45668</v>
      </c>
      <c r="W24">
        <v>3800405138</v>
      </c>
      <c r="X24" s="105" t="s">
        <v>1188</v>
      </c>
      <c r="Y24" s="109">
        <v>45861</v>
      </c>
      <c r="AB24" s="116" t="str">
        <f t="shared" si="0"/>
        <v>CÔNG TY CỔ PHẦN PHÁT TRIỂN HẠ TẦNG KỸ THUẬT BECAMEX-BÌNH PHƯỚC(46 Lô TDC-31)</v>
      </c>
      <c r="AC24" s="116" t="str">
        <f t="shared" si="1"/>
        <v>Căn 46 lô TĐC-31</v>
      </c>
      <c r="AD24" s="120">
        <f t="shared" si="2"/>
        <v>81</v>
      </c>
      <c r="AE24" s="121"/>
      <c r="AF24" s="127" t="s">
        <v>36</v>
      </c>
      <c r="AG24" s="123" t="s">
        <v>768</v>
      </c>
      <c r="AH24" s="128" t="s">
        <v>49</v>
      </c>
      <c r="AI24" s="124">
        <v>23</v>
      </c>
      <c r="AJ24" s="125"/>
    </row>
    <row r="25" spans="1:36" ht="18.75" x14ac:dyDescent="0.25">
      <c r="A25" s="105" t="s">
        <v>1177</v>
      </c>
      <c r="B25" s="112" t="s">
        <v>323</v>
      </c>
      <c r="C25" s="112" t="s">
        <v>323</v>
      </c>
      <c r="D25" s="105" t="s">
        <v>1258</v>
      </c>
      <c r="E25" s="105" t="s">
        <v>65</v>
      </c>
      <c r="F25" s="105" t="s">
        <v>1259</v>
      </c>
      <c r="G25" s="105" t="s">
        <v>1259</v>
      </c>
      <c r="H25" s="105" t="s">
        <v>1260</v>
      </c>
      <c r="I25" s="105" t="s">
        <v>1192</v>
      </c>
      <c r="J25" s="106">
        <v>45551</v>
      </c>
      <c r="K25" s="105"/>
      <c r="L25" s="105" t="s">
        <v>1181</v>
      </c>
      <c r="M25" s="105" t="s">
        <v>1182</v>
      </c>
      <c r="N25" s="106">
        <v>27861</v>
      </c>
      <c r="O25" s="119" t="s">
        <v>1150</v>
      </c>
      <c r="P25" s="105" t="s">
        <v>1183</v>
      </c>
      <c r="Q25" s="105" t="s">
        <v>1184</v>
      </c>
      <c r="R25" s="106">
        <v>44375</v>
      </c>
      <c r="S25" s="105" t="s">
        <v>1185</v>
      </c>
      <c r="T25" s="105" t="s">
        <v>1186</v>
      </c>
      <c r="U25" s="107" t="s">
        <v>1187</v>
      </c>
      <c r="V25" s="108">
        <v>45668</v>
      </c>
      <c r="W25">
        <v>3800405138</v>
      </c>
      <c r="X25" s="105" t="s">
        <v>1188</v>
      </c>
      <c r="Y25" s="109">
        <v>45861</v>
      </c>
      <c r="AB25" s="116" t="str">
        <f t="shared" si="0"/>
        <v>CÔNG TY CỔ PHẦN PHÁT TRIỂN HẠ TẦNG KỸ THUẬT BECAMEX - BÌNH PHƯỚC</v>
      </c>
      <c r="AC25" s="116" t="str">
        <f t="shared" si="1"/>
        <v>Căn 60 lô AM-16</v>
      </c>
      <c r="AD25" s="120">
        <f t="shared" si="2"/>
        <v>191</v>
      </c>
      <c r="AE25" s="121"/>
      <c r="AF25" s="122" t="s">
        <v>37</v>
      </c>
      <c r="AG25" s="123" t="s">
        <v>769</v>
      </c>
      <c r="AH25" s="123" t="s">
        <v>48</v>
      </c>
      <c r="AI25" s="124">
        <v>24</v>
      </c>
      <c r="AJ25" s="125"/>
    </row>
    <row r="26" spans="1:36" ht="18.75" x14ac:dyDescent="0.25">
      <c r="A26" s="105" t="s">
        <v>1177</v>
      </c>
      <c r="B26" s="112" t="s">
        <v>153</v>
      </c>
      <c r="C26" s="112" t="s">
        <v>153</v>
      </c>
      <c r="D26" s="105" t="s">
        <v>1261</v>
      </c>
      <c r="E26" s="105" t="s">
        <v>1262</v>
      </c>
      <c r="F26" s="105" t="s">
        <v>1263</v>
      </c>
      <c r="G26" s="105" t="s">
        <v>1263</v>
      </c>
      <c r="H26" s="105" t="s">
        <v>1264</v>
      </c>
      <c r="I26" s="105" t="s">
        <v>1205</v>
      </c>
      <c r="J26" s="106">
        <v>44519</v>
      </c>
      <c r="K26" s="105"/>
      <c r="L26" s="105" t="s">
        <v>1181</v>
      </c>
      <c r="M26" s="105" t="s">
        <v>1182</v>
      </c>
      <c r="N26" s="106">
        <v>27861</v>
      </c>
      <c r="O26" s="119" t="s">
        <v>1150</v>
      </c>
      <c r="P26" s="105" t="s">
        <v>1183</v>
      </c>
      <c r="Q26" s="105" t="s">
        <v>1184</v>
      </c>
      <c r="R26" s="106">
        <v>44375</v>
      </c>
      <c r="S26" s="105" t="s">
        <v>1185</v>
      </c>
      <c r="T26" s="105" t="s">
        <v>1186</v>
      </c>
      <c r="U26" s="107" t="s">
        <v>1187</v>
      </c>
      <c r="V26" s="108">
        <v>45668</v>
      </c>
      <c r="W26">
        <v>3800405138</v>
      </c>
      <c r="X26" s="105" t="s">
        <v>1188</v>
      </c>
      <c r="Y26" s="109">
        <v>45861</v>
      </c>
      <c r="AB26" s="116" t="str">
        <f t="shared" si="0"/>
        <v>CÔNG TY CỔ PHẦN PHÁT TRIỂN HẠ TẦNG KỸ THUẬT BECAMEX - BÌNH PHƯỚC</v>
      </c>
      <c r="AC26" s="116" t="str">
        <f t="shared" si="1"/>
        <v>Căn 5 lô TĐC-31</v>
      </c>
      <c r="AD26" s="120">
        <f t="shared" si="2"/>
        <v>44</v>
      </c>
      <c r="AE26" s="121"/>
      <c r="AF26" s="122" t="s">
        <v>38</v>
      </c>
      <c r="AG26" s="123" t="s">
        <v>770</v>
      </c>
      <c r="AH26" s="123" t="s">
        <v>46</v>
      </c>
      <c r="AI26" s="124">
        <v>25</v>
      </c>
      <c r="AJ26" s="125"/>
    </row>
    <row r="27" spans="1:36" ht="18.75" x14ac:dyDescent="0.25">
      <c r="A27" s="105" t="s">
        <v>1177</v>
      </c>
      <c r="B27" s="112" t="s">
        <v>345</v>
      </c>
      <c r="C27" s="112" t="s">
        <v>345</v>
      </c>
      <c r="D27" s="105" t="s">
        <v>1265</v>
      </c>
      <c r="E27" s="105" t="s">
        <v>65</v>
      </c>
      <c r="F27" s="105" t="s">
        <v>1266</v>
      </c>
      <c r="G27" s="105" t="s">
        <v>1266</v>
      </c>
      <c r="H27" s="105" t="s">
        <v>1267</v>
      </c>
      <c r="I27" s="105" t="s">
        <v>1192</v>
      </c>
      <c r="J27" s="106">
        <v>45551</v>
      </c>
      <c r="K27" s="105"/>
      <c r="L27" s="105" t="s">
        <v>1181</v>
      </c>
      <c r="M27" s="105" t="s">
        <v>1182</v>
      </c>
      <c r="N27" s="106">
        <v>27861</v>
      </c>
      <c r="O27" s="119" t="s">
        <v>1150</v>
      </c>
      <c r="P27" s="105" t="s">
        <v>1183</v>
      </c>
      <c r="Q27" s="105" t="s">
        <v>1184</v>
      </c>
      <c r="R27" s="106">
        <v>44375</v>
      </c>
      <c r="S27" s="105" t="s">
        <v>1185</v>
      </c>
      <c r="T27" s="105" t="s">
        <v>1186</v>
      </c>
      <c r="U27" s="107" t="s">
        <v>1187</v>
      </c>
      <c r="V27" s="108">
        <v>45668</v>
      </c>
      <c r="W27">
        <v>3800405138</v>
      </c>
      <c r="X27" s="105" t="s">
        <v>1188</v>
      </c>
      <c r="Y27" s="109">
        <v>45861</v>
      </c>
      <c r="AB27" s="116" t="str">
        <f t="shared" si="0"/>
        <v>CÔNG TY CỔ PHẦN PHÁT TRIỂN HẠ TẦNG KỸ THUẬT BECAMEX - BÌNH PHƯỚC</v>
      </c>
      <c r="AC27" s="116" t="str">
        <f t="shared" si="1"/>
        <v>Căn 17 lô AM-16</v>
      </c>
      <c r="AD27" s="120">
        <f t="shared" si="2"/>
        <v>148</v>
      </c>
      <c r="AE27" s="121"/>
      <c r="AF27" s="122" t="s">
        <v>39</v>
      </c>
      <c r="AG27" s="123" t="s">
        <v>771</v>
      </c>
      <c r="AH27" s="123" t="s">
        <v>47</v>
      </c>
      <c r="AI27" s="124">
        <v>26</v>
      </c>
      <c r="AJ27" s="125"/>
    </row>
    <row r="28" spans="1:36" ht="18.75" x14ac:dyDescent="0.25">
      <c r="A28" s="105" t="s">
        <v>1177</v>
      </c>
      <c r="B28" s="112" t="s">
        <v>360</v>
      </c>
      <c r="C28" s="112" t="s">
        <v>360</v>
      </c>
      <c r="D28" s="105" t="s">
        <v>1268</v>
      </c>
      <c r="E28" s="105" t="s">
        <v>65</v>
      </c>
      <c r="F28" s="105" t="s">
        <v>1269</v>
      </c>
      <c r="G28" s="105" t="s">
        <v>1269</v>
      </c>
      <c r="H28" s="105" t="s">
        <v>1270</v>
      </c>
      <c r="I28" s="105" t="s">
        <v>1192</v>
      </c>
      <c r="J28" s="106">
        <v>45551</v>
      </c>
      <c r="K28" s="105"/>
      <c r="L28" s="105" t="s">
        <v>1181</v>
      </c>
      <c r="M28" s="105" t="s">
        <v>1182</v>
      </c>
      <c r="N28" s="106">
        <v>27861</v>
      </c>
      <c r="O28" s="119" t="s">
        <v>1150</v>
      </c>
      <c r="P28" s="105" t="s">
        <v>1183</v>
      </c>
      <c r="Q28" s="105" t="s">
        <v>1184</v>
      </c>
      <c r="R28" s="106">
        <v>44375</v>
      </c>
      <c r="S28" s="105" t="s">
        <v>1185</v>
      </c>
      <c r="T28" s="105" t="s">
        <v>1186</v>
      </c>
      <c r="U28" s="107" t="s">
        <v>1187</v>
      </c>
      <c r="V28" s="108">
        <v>45668</v>
      </c>
      <c r="W28">
        <v>3800405138</v>
      </c>
      <c r="X28" s="105" t="s">
        <v>1188</v>
      </c>
      <c r="Y28" s="109">
        <v>45861</v>
      </c>
      <c r="AB28" s="116" t="str">
        <f t="shared" si="0"/>
        <v>CÔNG TY CỔ PHẦN PHÁT TRIỂN HẠ TẦNG KỸ THUẬT BECAMEX - BÌNH PHƯỚC</v>
      </c>
      <c r="AC28" s="116" t="str">
        <f t="shared" si="1"/>
        <v>Căn 02 lô AM-16</v>
      </c>
      <c r="AD28" s="120">
        <f t="shared" si="2"/>
        <v>133</v>
      </c>
      <c r="AE28" s="121"/>
      <c r="AF28" s="122" t="s">
        <v>40</v>
      </c>
      <c r="AG28" s="123" t="s">
        <v>772</v>
      </c>
      <c r="AH28" s="123" t="s">
        <v>1123</v>
      </c>
      <c r="AI28" s="124">
        <v>27</v>
      </c>
      <c r="AJ28" s="125"/>
    </row>
    <row r="29" spans="1:36" ht="18.75" x14ac:dyDescent="0.25">
      <c r="A29" s="105" t="s">
        <v>1177</v>
      </c>
      <c r="B29" s="112" t="s">
        <v>107</v>
      </c>
      <c r="C29" s="112" t="s">
        <v>107</v>
      </c>
      <c r="D29" s="105" t="s">
        <v>1271</v>
      </c>
      <c r="E29" s="105" t="s">
        <v>137</v>
      </c>
      <c r="F29" s="105" t="s">
        <v>1203</v>
      </c>
      <c r="G29" s="105" t="s">
        <v>1203</v>
      </c>
      <c r="H29" s="105" t="s">
        <v>1272</v>
      </c>
      <c r="I29" s="105" t="s">
        <v>1205</v>
      </c>
      <c r="J29" s="106">
        <v>45092</v>
      </c>
      <c r="K29" s="105"/>
      <c r="L29" s="105" t="s">
        <v>1181</v>
      </c>
      <c r="M29" s="105" t="s">
        <v>1182</v>
      </c>
      <c r="N29" s="106">
        <v>27861</v>
      </c>
      <c r="O29" s="119" t="s">
        <v>1150</v>
      </c>
      <c r="P29" s="105" t="s">
        <v>1183</v>
      </c>
      <c r="Q29" s="105" t="s">
        <v>1184</v>
      </c>
      <c r="R29" s="106">
        <v>44375</v>
      </c>
      <c r="S29" s="105" t="s">
        <v>1185</v>
      </c>
      <c r="T29" s="105" t="s">
        <v>1186</v>
      </c>
      <c r="U29" s="107" t="s">
        <v>1187</v>
      </c>
      <c r="V29" s="108">
        <v>45668</v>
      </c>
      <c r="W29">
        <v>3800405138</v>
      </c>
      <c r="X29" s="105" t="s">
        <v>1188</v>
      </c>
      <c r="Y29" s="109">
        <v>45861</v>
      </c>
      <c r="AB29" s="116" t="str">
        <f t="shared" si="0"/>
        <v>CÔNG TY CỔ PHẦN PHÁT TRIỂN HẠ TẦNG KỸ THUẬT BECAMEX-BÌNH PHƯỚC(49 Lô TDC-31)</v>
      </c>
      <c r="AC29" s="116" t="str">
        <f t="shared" si="1"/>
        <v>Căn 49 lô TĐC-31</v>
      </c>
      <c r="AD29" s="120">
        <f t="shared" si="2"/>
        <v>84</v>
      </c>
      <c r="AE29" s="121"/>
      <c r="AF29" s="122" t="s">
        <v>41</v>
      </c>
      <c r="AG29" s="123" t="s">
        <v>773</v>
      </c>
      <c r="AH29" s="123" t="s">
        <v>1124</v>
      </c>
      <c r="AI29" s="124">
        <v>28</v>
      </c>
      <c r="AJ29" s="125"/>
    </row>
    <row r="30" spans="1:36" ht="18.75" x14ac:dyDescent="0.25">
      <c r="A30" s="105" t="s">
        <v>1177</v>
      </c>
      <c r="B30" s="112" t="s">
        <v>608</v>
      </c>
      <c r="C30" s="112" t="s">
        <v>608</v>
      </c>
      <c r="D30" s="105" t="s">
        <v>1273</v>
      </c>
      <c r="E30" s="105" t="s">
        <v>65</v>
      </c>
      <c r="F30" s="105" t="s">
        <v>1274</v>
      </c>
      <c r="G30" s="105" t="s">
        <v>1274</v>
      </c>
      <c r="H30" s="105" t="s">
        <v>1275</v>
      </c>
      <c r="I30" s="105" t="s">
        <v>1192</v>
      </c>
      <c r="J30" s="106">
        <v>45549</v>
      </c>
      <c r="K30" s="105"/>
      <c r="L30" s="105" t="s">
        <v>1181</v>
      </c>
      <c r="M30" s="105" t="s">
        <v>1182</v>
      </c>
      <c r="N30" s="106">
        <v>27861</v>
      </c>
      <c r="O30" s="119" t="s">
        <v>1150</v>
      </c>
      <c r="P30" s="105" t="s">
        <v>1183</v>
      </c>
      <c r="Q30" s="105" t="s">
        <v>1184</v>
      </c>
      <c r="R30" s="106">
        <v>44375</v>
      </c>
      <c r="S30" s="105" t="s">
        <v>1185</v>
      </c>
      <c r="T30" s="105" t="s">
        <v>1186</v>
      </c>
      <c r="U30" s="107" t="s">
        <v>1187</v>
      </c>
      <c r="V30" s="108">
        <v>45668</v>
      </c>
      <c r="W30">
        <v>3800405138</v>
      </c>
      <c r="X30" s="105" t="s">
        <v>1188</v>
      </c>
      <c r="Y30" s="109">
        <v>45861</v>
      </c>
      <c r="AB30" s="116" t="str">
        <f t="shared" si="0"/>
        <v>CÔNG TY CỔ PHẦN PHÁT TRIỂN HẠ TẦNG KỸ THUẬT BECAMEX - BÌNH PHƯỚC</v>
      </c>
      <c r="AC30" s="116" t="str">
        <f t="shared" si="1"/>
        <v>Căn 66 lô AM-16</v>
      </c>
      <c r="AD30" s="120">
        <f t="shared" si="2"/>
        <v>197</v>
      </c>
      <c r="AE30" s="121"/>
      <c r="AF30" s="122" t="s">
        <v>12</v>
      </c>
      <c r="AG30" s="123" t="s">
        <v>66</v>
      </c>
      <c r="AH30" s="123" t="s">
        <v>13</v>
      </c>
      <c r="AI30" s="124">
        <v>29</v>
      </c>
      <c r="AJ30" s="123"/>
    </row>
    <row r="31" spans="1:36" ht="18.75" x14ac:dyDescent="0.25">
      <c r="A31" s="105" t="s">
        <v>1177</v>
      </c>
      <c r="B31" s="112" t="s">
        <v>79</v>
      </c>
      <c r="C31" s="112" t="s">
        <v>79</v>
      </c>
      <c r="D31" s="105" t="s">
        <v>1276</v>
      </c>
      <c r="E31" s="105" t="s">
        <v>65</v>
      </c>
      <c r="F31" s="105" t="s">
        <v>1277</v>
      </c>
      <c r="G31" s="105" t="s">
        <v>1277</v>
      </c>
      <c r="H31" s="105" t="s">
        <v>1278</v>
      </c>
      <c r="I31" s="105" t="s">
        <v>1192</v>
      </c>
      <c r="J31" s="106">
        <v>45271</v>
      </c>
      <c r="K31" s="105"/>
      <c r="L31" s="105" t="s">
        <v>1181</v>
      </c>
      <c r="M31" s="105" t="s">
        <v>1182</v>
      </c>
      <c r="N31" s="106">
        <v>27861</v>
      </c>
      <c r="O31" s="119" t="s">
        <v>1150</v>
      </c>
      <c r="P31" s="105" t="s">
        <v>1183</v>
      </c>
      <c r="Q31" s="105" t="s">
        <v>1184</v>
      </c>
      <c r="R31" s="106">
        <v>44375</v>
      </c>
      <c r="S31" s="105" t="s">
        <v>1185</v>
      </c>
      <c r="T31" s="105" t="s">
        <v>1186</v>
      </c>
      <c r="U31" s="107" t="s">
        <v>1187</v>
      </c>
      <c r="V31" s="108">
        <v>45668</v>
      </c>
      <c r="W31">
        <v>3800405138</v>
      </c>
      <c r="X31" s="105" t="s">
        <v>1188</v>
      </c>
      <c r="Y31" s="109">
        <v>45861</v>
      </c>
      <c r="AB31" s="116" t="str">
        <f t="shared" si="0"/>
        <v>CÔNG TY CP PHÁT TRIỂN HẠ TẦNG KỸ THUẬT BECAMEX - BÌNH PHƯỚC</v>
      </c>
      <c r="AC31" s="116" t="str">
        <f t="shared" si="1"/>
        <v>Căn 80 lô AM-15</v>
      </c>
      <c r="AD31" s="120">
        <f t="shared" si="2"/>
        <v>220</v>
      </c>
      <c r="AE31" s="121"/>
      <c r="AF31" s="122" t="s">
        <v>42</v>
      </c>
      <c r="AG31" s="123" t="s">
        <v>65</v>
      </c>
      <c r="AH31" s="123" t="s">
        <v>60</v>
      </c>
      <c r="AI31" s="124">
        <v>30</v>
      </c>
      <c r="AJ31" s="125"/>
    </row>
    <row r="32" spans="1:36" ht="18.75" x14ac:dyDescent="0.25">
      <c r="A32" s="105" t="s">
        <v>1177</v>
      </c>
      <c r="B32" s="112" t="s">
        <v>635</v>
      </c>
      <c r="C32" s="112" t="s">
        <v>635</v>
      </c>
      <c r="D32" s="105" t="s">
        <v>1279</v>
      </c>
      <c r="E32" s="105" t="s">
        <v>65</v>
      </c>
      <c r="F32" s="105" t="s">
        <v>1280</v>
      </c>
      <c r="G32" s="105" t="s">
        <v>1280</v>
      </c>
      <c r="H32" s="105" t="s">
        <v>1281</v>
      </c>
      <c r="I32" s="105" t="s">
        <v>1192</v>
      </c>
      <c r="J32" s="106">
        <v>45549</v>
      </c>
      <c r="K32" s="105"/>
      <c r="L32" s="105" t="s">
        <v>1181</v>
      </c>
      <c r="M32" s="105" t="s">
        <v>1182</v>
      </c>
      <c r="N32" s="106">
        <v>27861</v>
      </c>
      <c r="O32" s="119" t="s">
        <v>1150</v>
      </c>
      <c r="P32" s="105" t="s">
        <v>1183</v>
      </c>
      <c r="Q32" s="105" t="s">
        <v>1184</v>
      </c>
      <c r="R32" s="106">
        <v>44375</v>
      </c>
      <c r="S32" s="105" t="s">
        <v>1185</v>
      </c>
      <c r="T32" s="105" t="s">
        <v>1186</v>
      </c>
      <c r="U32" s="107" t="s">
        <v>1187</v>
      </c>
      <c r="V32" s="108">
        <v>45668</v>
      </c>
      <c r="W32">
        <v>3800405138</v>
      </c>
      <c r="X32" s="105" t="s">
        <v>1188</v>
      </c>
      <c r="Y32" s="109">
        <v>45861</v>
      </c>
      <c r="AB32" s="116" t="str">
        <f t="shared" si="0"/>
        <v>CÔNG TY CỔ PHẦN PHÁT TRIỂN HẠ TẦNG KỸ THUẬT BECAMEX - BÌNH PHƯỚC</v>
      </c>
      <c r="AC32" s="116" t="str">
        <f t="shared" si="1"/>
        <v>Căn 36 lô AM-16</v>
      </c>
      <c r="AD32" s="120">
        <f t="shared" si="2"/>
        <v>167</v>
      </c>
      <c r="AE32" s="121"/>
      <c r="AF32" s="129" t="s">
        <v>19</v>
      </c>
      <c r="AG32" s="123" t="s">
        <v>62</v>
      </c>
      <c r="AH32" s="128" t="s">
        <v>63</v>
      </c>
      <c r="AI32" s="124">
        <v>31</v>
      </c>
      <c r="AJ32" s="123"/>
    </row>
    <row r="33" spans="1:36" ht="18.75" x14ac:dyDescent="0.25">
      <c r="A33" s="105" t="s">
        <v>1177</v>
      </c>
      <c r="B33" s="112" t="s">
        <v>612</v>
      </c>
      <c r="C33" s="112" t="s">
        <v>612</v>
      </c>
      <c r="D33" s="105" t="s">
        <v>1282</v>
      </c>
      <c r="E33" s="105" t="s">
        <v>65</v>
      </c>
      <c r="F33" s="105" t="s">
        <v>1283</v>
      </c>
      <c r="G33" s="105" t="s">
        <v>1283</v>
      </c>
      <c r="H33" s="105" t="s">
        <v>1284</v>
      </c>
      <c r="I33" s="105" t="s">
        <v>1192</v>
      </c>
      <c r="J33" s="106">
        <v>45551</v>
      </c>
      <c r="K33" s="105"/>
      <c r="L33" s="105" t="s">
        <v>1181</v>
      </c>
      <c r="M33" s="105" t="s">
        <v>1182</v>
      </c>
      <c r="N33" s="106">
        <v>27861</v>
      </c>
      <c r="O33" s="119" t="s">
        <v>1150</v>
      </c>
      <c r="P33" s="105" t="s">
        <v>1183</v>
      </c>
      <c r="Q33" s="105" t="s">
        <v>1184</v>
      </c>
      <c r="R33" s="106">
        <v>44375</v>
      </c>
      <c r="S33" s="105" t="s">
        <v>1185</v>
      </c>
      <c r="T33" s="105" t="s">
        <v>1186</v>
      </c>
      <c r="U33" s="107" t="s">
        <v>1187</v>
      </c>
      <c r="V33" s="108">
        <v>45668</v>
      </c>
      <c r="W33">
        <v>3800405138</v>
      </c>
      <c r="X33" s="105" t="s">
        <v>1188</v>
      </c>
      <c r="Y33" s="109">
        <v>45861</v>
      </c>
      <c r="AB33" s="116" t="str">
        <f t="shared" si="0"/>
        <v>CÔNG TY CỔ PHẦN PHÁT TRIỂN HẠ TẦNG KỸ THUẬT BECAMEX - BÌNH PHƯỚC</v>
      </c>
      <c r="AC33" s="116" t="str">
        <f t="shared" si="1"/>
        <v>Căn 71 lô AM-16</v>
      </c>
      <c r="AD33" s="120">
        <f t="shared" si="2"/>
        <v>202</v>
      </c>
      <c r="AE33" s="121"/>
      <c r="AF33" s="130" t="s">
        <v>18</v>
      </c>
      <c r="AG33" s="111" t="s">
        <v>65</v>
      </c>
      <c r="AH33" s="111" t="s">
        <v>1708</v>
      </c>
      <c r="AI33" s="104">
        <v>32</v>
      </c>
      <c r="AJ33" s="111"/>
    </row>
    <row r="34" spans="1:36" ht="18.75" x14ac:dyDescent="0.25">
      <c r="A34" s="105" t="s">
        <v>1177</v>
      </c>
      <c r="B34" s="112" t="s">
        <v>616</v>
      </c>
      <c r="C34" s="112" t="s">
        <v>616</v>
      </c>
      <c r="D34" s="105" t="s">
        <v>1285</v>
      </c>
      <c r="E34" s="105" t="s">
        <v>65</v>
      </c>
      <c r="F34" s="105" t="s">
        <v>1286</v>
      </c>
      <c r="G34" s="105" t="s">
        <v>1286</v>
      </c>
      <c r="H34" s="105" t="s">
        <v>1287</v>
      </c>
      <c r="I34" s="105" t="s">
        <v>1192</v>
      </c>
      <c r="J34" s="106">
        <v>45549</v>
      </c>
      <c r="K34" s="105"/>
      <c r="L34" s="105" t="s">
        <v>1181</v>
      </c>
      <c r="M34" s="105" t="s">
        <v>1182</v>
      </c>
      <c r="N34" s="106">
        <v>27861</v>
      </c>
      <c r="O34" s="119" t="s">
        <v>1150</v>
      </c>
      <c r="P34" s="105" t="s">
        <v>1183</v>
      </c>
      <c r="Q34" s="105" t="s">
        <v>1184</v>
      </c>
      <c r="R34" s="106">
        <v>44375</v>
      </c>
      <c r="S34" s="105" t="s">
        <v>1185</v>
      </c>
      <c r="T34" s="105" t="s">
        <v>1186</v>
      </c>
      <c r="U34" s="107" t="s">
        <v>1187</v>
      </c>
      <c r="V34" s="108">
        <v>45668</v>
      </c>
      <c r="W34">
        <v>3800405138</v>
      </c>
      <c r="X34" s="105" t="s">
        <v>1188</v>
      </c>
      <c r="Y34" s="109">
        <v>45861</v>
      </c>
      <c r="AB34" s="116" t="str">
        <f t="shared" ref="AB34:AB65" si="3">VLOOKUP(B34,$AF$2:$AJ$303,2,0)</f>
        <v>CÔNG TY CỔ PHẦN PHÁT TRIỂN HẠ TẦNG KỸ THUẬT BECAMEX - BÌNH PHƯỚC</v>
      </c>
      <c r="AC34" s="116" t="str">
        <f t="shared" ref="AC34:AC65" si="4">VLOOKUP(C34,$AF$2:$AJ$303,3,0)</f>
        <v>Căn 69 lô AM-16</v>
      </c>
      <c r="AD34" s="120">
        <f t="shared" si="2"/>
        <v>200</v>
      </c>
      <c r="AE34" s="121"/>
      <c r="AF34" s="122" t="s">
        <v>80</v>
      </c>
      <c r="AG34" s="123" t="s">
        <v>65</v>
      </c>
      <c r="AH34" s="123" t="s">
        <v>85</v>
      </c>
      <c r="AI34" s="124">
        <v>33</v>
      </c>
      <c r="AJ34" s="131"/>
    </row>
    <row r="35" spans="1:36" ht="18.75" x14ac:dyDescent="0.25">
      <c r="A35" s="105" t="s">
        <v>1177</v>
      </c>
      <c r="B35" s="112" t="s">
        <v>117</v>
      </c>
      <c r="C35" s="112" t="s">
        <v>117</v>
      </c>
      <c r="D35" s="105" t="s">
        <v>1288</v>
      </c>
      <c r="E35" s="105" t="s">
        <v>147</v>
      </c>
      <c r="F35" s="105" t="s">
        <v>1203</v>
      </c>
      <c r="G35" s="105" t="s">
        <v>1203</v>
      </c>
      <c r="H35" s="105" t="s">
        <v>1289</v>
      </c>
      <c r="I35" s="105" t="s">
        <v>1205</v>
      </c>
      <c r="J35" s="106">
        <v>45092</v>
      </c>
      <c r="K35" s="105"/>
      <c r="L35" s="105" t="s">
        <v>1181</v>
      </c>
      <c r="M35" s="105" t="s">
        <v>1182</v>
      </c>
      <c r="N35" s="106">
        <v>27861</v>
      </c>
      <c r="O35" s="119" t="s">
        <v>1150</v>
      </c>
      <c r="P35" s="105" t="s">
        <v>1183</v>
      </c>
      <c r="Q35" s="105" t="s">
        <v>1184</v>
      </c>
      <c r="R35" s="106">
        <v>44375</v>
      </c>
      <c r="S35" s="105" t="s">
        <v>1185</v>
      </c>
      <c r="T35" s="105" t="s">
        <v>1186</v>
      </c>
      <c r="U35" s="107" t="s">
        <v>1187</v>
      </c>
      <c r="V35" s="108">
        <v>45668</v>
      </c>
      <c r="W35">
        <v>3800405138</v>
      </c>
      <c r="X35" s="105" t="s">
        <v>1188</v>
      </c>
      <c r="Y35" s="109">
        <v>45861</v>
      </c>
      <c r="AB35" s="116" t="str">
        <f t="shared" si="3"/>
        <v>CÔNG TY CỔ PHẦN PHÁT TRIỂN HẠ TẦNG KỸ THUẬT BECAMEX-BÌNH PHƯỚC(59 Lô TDC-31)</v>
      </c>
      <c r="AC35" s="116" t="str">
        <f t="shared" si="4"/>
        <v>Căn 59 lô TĐC-31</v>
      </c>
      <c r="AD35" s="120">
        <f t="shared" si="2"/>
        <v>131</v>
      </c>
      <c r="AE35" s="121"/>
      <c r="AF35" s="122" t="s">
        <v>81</v>
      </c>
      <c r="AG35" s="123" t="s">
        <v>68</v>
      </c>
      <c r="AH35" s="123" t="s">
        <v>86</v>
      </c>
      <c r="AI35" s="124">
        <v>34</v>
      </c>
      <c r="AJ35" s="132"/>
    </row>
    <row r="36" spans="1:36" ht="18.75" x14ac:dyDescent="0.25">
      <c r="A36" s="105" t="s">
        <v>1177</v>
      </c>
      <c r="B36" s="112" t="s">
        <v>95</v>
      </c>
      <c r="C36" s="112" t="s">
        <v>95</v>
      </c>
      <c r="D36" s="105" t="s">
        <v>1290</v>
      </c>
      <c r="E36" s="105" t="s">
        <v>125</v>
      </c>
      <c r="F36" s="105" t="s">
        <v>1203</v>
      </c>
      <c r="G36" s="105" t="s">
        <v>1203</v>
      </c>
      <c r="H36" s="105" t="s">
        <v>1291</v>
      </c>
      <c r="I36" s="105" t="s">
        <v>1205</v>
      </c>
      <c r="J36" s="106">
        <v>45090</v>
      </c>
      <c r="K36" s="105"/>
      <c r="L36" s="105" t="s">
        <v>1181</v>
      </c>
      <c r="M36" s="105" t="s">
        <v>1182</v>
      </c>
      <c r="N36" s="106">
        <v>27861</v>
      </c>
      <c r="O36" s="119" t="s">
        <v>1150</v>
      </c>
      <c r="P36" s="105" t="s">
        <v>1183</v>
      </c>
      <c r="Q36" s="105" t="s">
        <v>1184</v>
      </c>
      <c r="R36" s="106">
        <v>44375</v>
      </c>
      <c r="S36" s="105" t="s">
        <v>1185</v>
      </c>
      <c r="T36" s="105" t="s">
        <v>1186</v>
      </c>
      <c r="U36" s="107" t="s">
        <v>1187</v>
      </c>
      <c r="V36" s="108">
        <v>45668</v>
      </c>
      <c r="W36">
        <v>3800405138</v>
      </c>
      <c r="X36" s="105" t="s">
        <v>1188</v>
      </c>
      <c r="Y36" s="109">
        <v>45861</v>
      </c>
      <c r="AB36" s="116" t="str">
        <f t="shared" si="3"/>
        <v>CÔNG TY CỔ PHẦN PHÁT TRIỂN HẠ TẦNG KỸ THUẬT BECAMEX-BÌNH PHƯỚC(35 Lô TDC-31)</v>
      </c>
      <c r="AC36" s="116" t="str">
        <f t="shared" si="4"/>
        <v>Căn 35 lô TĐC-31</v>
      </c>
      <c r="AD36" s="120">
        <f t="shared" si="2"/>
        <v>70</v>
      </c>
      <c r="AE36" s="121"/>
      <c r="AF36" s="122" t="s">
        <v>83</v>
      </c>
      <c r="AG36" s="123" t="s">
        <v>65</v>
      </c>
      <c r="AH36" s="123" t="s">
        <v>88</v>
      </c>
      <c r="AI36" s="124">
        <v>35</v>
      </c>
      <c r="AJ36" s="132"/>
    </row>
    <row r="37" spans="1:36" ht="18.75" x14ac:dyDescent="0.25">
      <c r="A37" s="105" t="s">
        <v>1177</v>
      </c>
      <c r="B37" s="112" t="s">
        <v>350</v>
      </c>
      <c r="C37" s="112" t="s">
        <v>350</v>
      </c>
      <c r="D37" s="105" t="s">
        <v>1292</v>
      </c>
      <c r="E37" s="105" t="s">
        <v>65</v>
      </c>
      <c r="F37" s="105" t="s">
        <v>1293</v>
      </c>
      <c r="G37" s="105" t="s">
        <v>1293</v>
      </c>
      <c r="H37" s="105" t="s">
        <v>1294</v>
      </c>
      <c r="I37" s="105" t="s">
        <v>1192</v>
      </c>
      <c r="J37" s="106">
        <v>45551</v>
      </c>
      <c r="K37" s="105"/>
      <c r="L37" s="105" t="s">
        <v>1181</v>
      </c>
      <c r="M37" s="105" t="s">
        <v>1182</v>
      </c>
      <c r="N37" s="106">
        <v>27861</v>
      </c>
      <c r="O37" s="119" t="s">
        <v>1150</v>
      </c>
      <c r="P37" s="105" t="s">
        <v>1183</v>
      </c>
      <c r="Q37" s="105" t="s">
        <v>1184</v>
      </c>
      <c r="R37" s="106">
        <v>44375</v>
      </c>
      <c r="S37" s="105" t="s">
        <v>1185</v>
      </c>
      <c r="T37" s="105" t="s">
        <v>1186</v>
      </c>
      <c r="U37" s="107" t="s">
        <v>1187</v>
      </c>
      <c r="V37" s="108">
        <v>45668</v>
      </c>
      <c r="W37">
        <v>3800405138</v>
      </c>
      <c r="X37" s="105" t="s">
        <v>1188</v>
      </c>
      <c r="Y37" s="109">
        <v>45861</v>
      </c>
      <c r="AB37" s="116" t="str">
        <f t="shared" si="3"/>
        <v>CÔNG TY CỔ PHẦN PHÁT TRIỂN HẠ TẦNG KỸ THUẬT BECAMEX - BÌNH PHƯỚC</v>
      </c>
      <c r="AC37" s="116" t="str">
        <f t="shared" si="4"/>
        <v>Căn 12 lô AM-16</v>
      </c>
      <c r="AD37" s="120">
        <f t="shared" si="2"/>
        <v>143</v>
      </c>
      <c r="AE37" s="121"/>
      <c r="AF37" s="122" t="s">
        <v>84</v>
      </c>
      <c r="AG37" s="123" t="s">
        <v>65</v>
      </c>
      <c r="AH37" s="123" t="s">
        <v>89</v>
      </c>
      <c r="AI37" s="124">
        <v>36</v>
      </c>
      <c r="AJ37" s="132"/>
    </row>
    <row r="38" spans="1:36" ht="18.75" x14ac:dyDescent="0.25">
      <c r="A38" s="105" t="s">
        <v>1177</v>
      </c>
      <c r="B38" s="112" t="s">
        <v>638</v>
      </c>
      <c r="C38" s="112" t="s">
        <v>638</v>
      </c>
      <c r="D38" s="105" t="s">
        <v>1295</v>
      </c>
      <c r="E38" s="105" t="s">
        <v>65</v>
      </c>
      <c r="F38" s="105" t="s">
        <v>1296</v>
      </c>
      <c r="G38" s="105" t="s">
        <v>1296</v>
      </c>
      <c r="H38" s="105" t="s">
        <v>1297</v>
      </c>
      <c r="I38" s="105" t="s">
        <v>1192</v>
      </c>
      <c r="J38" s="106">
        <v>45549</v>
      </c>
      <c r="K38" s="105"/>
      <c r="L38" s="105" t="s">
        <v>1181</v>
      </c>
      <c r="M38" s="105" t="s">
        <v>1182</v>
      </c>
      <c r="N38" s="106">
        <v>27861</v>
      </c>
      <c r="O38" s="119" t="s">
        <v>1150</v>
      </c>
      <c r="P38" s="105" t="s">
        <v>1183</v>
      </c>
      <c r="Q38" s="105" t="s">
        <v>1184</v>
      </c>
      <c r="R38" s="106">
        <v>44375</v>
      </c>
      <c r="S38" s="105" t="s">
        <v>1185</v>
      </c>
      <c r="T38" s="105" t="s">
        <v>1186</v>
      </c>
      <c r="U38" s="107" t="s">
        <v>1187</v>
      </c>
      <c r="V38" s="108">
        <v>45668</v>
      </c>
      <c r="W38">
        <v>3800405138</v>
      </c>
      <c r="X38" s="105" t="s">
        <v>1188</v>
      </c>
      <c r="Y38" s="109">
        <v>45861</v>
      </c>
      <c r="AB38" s="116" t="str">
        <f t="shared" si="3"/>
        <v>CÔNG TY CỔ PHẦN PHÁT TRIỂN HẠ TẦNG KỸ THUẬT BECAMEX - BÌNH PHƯỚC</v>
      </c>
      <c r="AC38" s="116" t="str">
        <f t="shared" si="4"/>
        <v>Căn 39 lô AM-16</v>
      </c>
      <c r="AD38" s="120">
        <f t="shared" si="2"/>
        <v>170</v>
      </c>
      <c r="AE38" s="121"/>
      <c r="AF38" s="122" t="s">
        <v>77</v>
      </c>
      <c r="AG38" s="123" t="s">
        <v>68</v>
      </c>
      <c r="AH38" s="123" t="s">
        <v>1709</v>
      </c>
      <c r="AI38" s="124">
        <v>37</v>
      </c>
      <c r="AJ38" s="123"/>
    </row>
    <row r="39" spans="1:36" ht="18.75" x14ac:dyDescent="0.25">
      <c r="A39" s="105" t="s">
        <v>1177</v>
      </c>
      <c r="B39" s="112" t="s">
        <v>157</v>
      </c>
      <c r="C39" s="112" t="s">
        <v>157</v>
      </c>
      <c r="D39" s="105" t="s">
        <v>1298</v>
      </c>
      <c r="E39" s="105" t="s">
        <v>1299</v>
      </c>
      <c r="F39" s="105" t="s">
        <v>1300</v>
      </c>
      <c r="G39" s="105" t="s">
        <v>1300</v>
      </c>
      <c r="H39" s="105" t="s">
        <v>1301</v>
      </c>
      <c r="I39" s="105" t="s">
        <v>1205</v>
      </c>
      <c r="J39" s="106">
        <v>44519</v>
      </c>
      <c r="K39" s="105"/>
      <c r="L39" s="105" t="s">
        <v>1181</v>
      </c>
      <c r="M39" s="105" t="s">
        <v>1182</v>
      </c>
      <c r="N39" s="106">
        <v>27861</v>
      </c>
      <c r="O39" s="119" t="s">
        <v>1150</v>
      </c>
      <c r="P39" s="105" t="s">
        <v>1183</v>
      </c>
      <c r="Q39" s="105" t="s">
        <v>1184</v>
      </c>
      <c r="R39" s="106">
        <v>44375</v>
      </c>
      <c r="S39" s="105" t="s">
        <v>1185</v>
      </c>
      <c r="T39" s="105" t="s">
        <v>1186</v>
      </c>
      <c r="U39" s="107" t="s">
        <v>1187</v>
      </c>
      <c r="V39" s="108">
        <v>45668</v>
      </c>
      <c r="W39">
        <v>3800405138</v>
      </c>
      <c r="X39" s="105" t="s">
        <v>1188</v>
      </c>
      <c r="Y39" s="109">
        <v>45861</v>
      </c>
      <c r="AB39" s="116" t="str">
        <f t="shared" si="3"/>
        <v>CÔNG TY CỔ PHẦN PHÁT TRIỂN HẠ TẦNG KỸ THUẬT BECAMEX - BÌNH PHƯỚC</v>
      </c>
      <c r="AC39" s="116" t="str">
        <f t="shared" si="4"/>
        <v>Căn 9 lô TĐC-31</v>
      </c>
      <c r="AD39" s="120">
        <f t="shared" si="2"/>
        <v>48</v>
      </c>
      <c r="AE39" s="121"/>
      <c r="AF39" s="122" t="s">
        <v>78</v>
      </c>
      <c r="AG39" s="123" t="s">
        <v>68</v>
      </c>
      <c r="AH39" s="123" t="s">
        <v>1710</v>
      </c>
      <c r="AI39" s="124">
        <v>38</v>
      </c>
      <c r="AJ39" s="123"/>
    </row>
    <row r="40" spans="1:36" ht="18.75" x14ac:dyDescent="0.25">
      <c r="A40" s="105" t="s">
        <v>1177</v>
      </c>
      <c r="B40" s="112" t="s">
        <v>356</v>
      </c>
      <c r="C40" s="112" t="s">
        <v>356</v>
      </c>
      <c r="D40" s="105" t="s">
        <v>1302</v>
      </c>
      <c r="E40" s="105" t="s">
        <v>65</v>
      </c>
      <c r="F40" s="105" t="s">
        <v>1303</v>
      </c>
      <c r="G40" s="105" t="s">
        <v>1303</v>
      </c>
      <c r="H40" s="105" t="s">
        <v>1304</v>
      </c>
      <c r="I40" s="105" t="s">
        <v>1192</v>
      </c>
      <c r="J40" s="106">
        <v>45551</v>
      </c>
      <c r="K40" s="105"/>
      <c r="L40" s="105" t="s">
        <v>1181</v>
      </c>
      <c r="M40" s="105" t="s">
        <v>1182</v>
      </c>
      <c r="N40" s="106">
        <v>27861</v>
      </c>
      <c r="O40" s="119" t="s">
        <v>1150</v>
      </c>
      <c r="P40" s="105" t="s">
        <v>1183</v>
      </c>
      <c r="Q40" s="105" t="s">
        <v>1184</v>
      </c>
      <c r="R40" s="106">
        <v>44375</v>
      </c>
      <c r="S40" s="105" t="s">
        <v>1185</v>
      </c>
      <c r="T40" s="105" t="s">
        <v>1186</v>
      </c>
      <c r="U40" s="107" t="s">
        <v>1187</v>
      </c>
      <c r="V40" s="108">
        <v>45668</v>
      </c>
      <c r="W40">
        <v>3800405138</v>
      </c>
      <c r="X40" s="105" t="s">
        <v>1188</v>
      </c>
      <c r="Y40" s="109">
        <v>45861</v>
      </c>
      <c r="AB40" s="116" t="str">
        <f t="shared" si="3"/>
        <v>CÔNG TY CỔ PHẦN PHÁT TRIỂN HẠ TẦNG KỸ THUẬT BECAMEX - BÌNH PHƯỚC</v>
      </c>
      <c r="AC40" s="116" t="str">
        <f t="shared" si="4"/>
        <v>Căn 06 lô AM-16</v>
      </c>
      <c r="AD40" s="120">
        <f t="shared" si="2"/>
        <v>137</v>
      </c>
      <c r="AE40" s="121"/>
      <c r="AF40" s="122" t="s">
        <v>82</v>
      </c>
      <c r="AG40" s="123" t="s">
        <v>65</v>
      </c>
      <c r="AH40" s="123" t="s">
        <v>87</v>
      </c>
      <c r="AI40" s="124">
        <v>39</v>
      </c>
      <c r="AJ40" s="132"/>
    </row>
    <row r="41" spans="1:36" ht="18.75" x14ac:dyDescent="0.25">
      <c r="A41" s="105" t="s">
        <v>1177</v>
      </c>
      <c r="B41" s="112" t="s">
        <v>111</v>
      </c>
      <c r="C41" s="112" t="s">
        <v>111</v>
      </c>
      <c r="D41" s="105" t="s">
        <v>1305</v>
      </c>
      <c r="E41" s="105" t="s">
        <v>141</v>
      </c>
      <c r="F41" s="105" t="s">
        <v>1203</v>
      </c>
      <c r="G41" s="105" t="s">
        <v>1203</v>
      </c>
      <c r="H41" s="105" t="s">
        <v>1306</v>
      </c>
      <c r="I41" s="105" t="s">
        <v>1205</v>
      </c>
      <c r="J41" s="106">
        <v>45092</v>
      </c>
      <c r="K41" s="105"/>
      <c r="L41" s="105" t="s">
        <v>1181</v>
      </c>
      <c r="M41" s="105" t="s">
        <v>1182</v>
      </c>
      <c r="N41" s="106">
        <v>27861</v>
      </c>
      <c r="O41" s="119" t="s">
        <v>1150</v>
      </c>
      <c r="P41" s="105" t="s">
        <v>1183</v>
      </c>
      <c r="Q41" s="105" t="s">
        <v>1184</v>
      </c>
      <c r="R41" s="106">
        <v>44375</v>
      </c>
      <c r="S41" s="105" t="s">
        <v>1185</v>
      </c>
      <c r="T41" s="105" t="s">
        <v>1186</v>
      </c>
      <c r="U41" s="107" t="s">
        <v>1187</v>
      </c>
      <c r="V41" s="108">
        <v>45668</v>
      </c>
      <c r="W41">
        <v>3800405138</v>
      </c>
      <c r="X41" s="105" t="s">
        <v>1188</v>
      </c>
      <c r="Y41" s="109">
        <v>45861</v>
      </c>
      <c r="AB41" s="116" t="str">
        <f t="shared" si="3"/>
        <v>CÔNG TY CỔ PHẦN PHÁT TRIỂN HẠ TẦNG KỸ THUẬT BECAMEX-BÌNH PHƯỚC(53 Lô TDC-31)</v>
      </c>
      <c r="AC41" s="116" t="str">
        <f t="shared" si="4"/>
        <v>Căn 53 lô TĐC-31</v>
      </c>
      <c r="AD41" s="120">
        <f t="shared" si="2"/>
        <v>88</v>
      </c>
      <c r="AE41" s="121"/>
      <c r="AF41" s="122" t="s">
        <v>175</v>
      </c>
      <c r="AG41" s="123" t="s">
        <v>65</v>
      </c>
      <c r="AH41" s="123" t="s">
        <v>176</v>
      </c>
      <c r="AI41" s="124">
        <v>40</v>
      </c>
      <c r="AJ41" s="131"/>
    </row>
    <row r="42" spans="1:36" ht="18.75" x14ac:dyDescent="0.25">
      <c r="A42" s="105" t="s">
        <v>1177</v>
      </c>
      <c r="B42" s="112" t="s">
        <v>98</v>
      </c>
      <c r="C42" s="112" t="s">
        <v>98</v>
      </c>
      <c r="D42" s="105" t="s">
        <v>1307</v>
      </c>
      <c r="E42" s="105" t="s">
        <v>128</v>
      </c>
      <c r="F42" s="105" t="s">
        <v>1203</v>
      </c>
      <c r="G42" s="105" t="s">
        <v>1203</v>
      </c>
      <c r="H42" s="105" t="s">
        <v>1308</v>
      </c>
      <c r="I42" s="105" t="s">
        <v>1205</v>
      </c>
      <c r="J42" s="106">
        <v>45090</v>
      </c>
      <c r="K42" s="105"/>
      <c r="L42" s="105" t="s">
        <v>1181</v>
      </c>
      <c r="M42" s="105" t="s">
        <v>1182</v>
      </c>
      <c r="N42" s="106">
        <v>27861</v>
      </c>
      <c r="O42" s="119" t="s">
        <v>1150</v>
      </c>
      <c r="P42" s="105" t="s">
        <v>1183</v>
      </c>
      <c r="Q42" s="105" t="s">
        <v>1184</v>
      </c>
      <c r="R42" s="106">
        <v>44375</v>
      </c>
      <c r="S42" s="105" t="s">
        <v>1185</v>
      </c>
      <c r="T42" s="105" t="s">
        <v>1186</v>
      </c>
      <c r="U42" s="107" t="s">
        <v>1187</v>
      </c>
      <c r="V42" s="108">
        <v>45668</v>
      </c>
      <c r="W42">
        <v>3800405138</v>
      </c>
      <c r="X42" s="105" t="s">
        <v>1188</v>
      </c>
      <c r="Y42" s="109">
        <v>45861</v>
      </c>
      <c r="AB42" s="116" t="str">
        <f t="shared" si="3"/>
        <v>CÔNG TY CỔ PHẦN PHÁT TRIỂN HẠ TẦNG KỸ THUẬT BECAMEX-BÌNH PHƯỚC(39 Lô TDC-31)</v>
      </c>
      <c r="AC42" s="116" t="str">
        <f t="shared" si="4"/>
        <v>Căn 39 lô TĐC-31</v>
      </c>
      <c r="AD42" s="120">
        <f t="shared" si="2"/>
        <v>74</v>
      </c>
      <c r="AE42" s="121"/>
      <c r="AF42" s="133" t="s">
        <v>150</v>
      </c>
      <c r="AG42" s="123" t="s">
        <v>65</v>
      </c>
      <c r="AH42" s="123" t="s">
        <v>867</v>
      </c>
      <c r="AI42" s="124">
        <v>41</v>
      </c>
      <c r="AJ42" s="134"/>
    </row>
    <row r="43" spans="1:36" ht="18.75" x14ac:dyDescent="0.25">
      <c r="A43" s="105" t="s">
        <v>1177</v>
      </c>
      <c r="B43" s="112" t="s">
        <v>327</v>
      </c>
      <c r="C43" s="112" t="s">
        <v>327</v>
      </c>
      <c r="D43" s="105" t="s">
        <v>1309</v>
      </c>
      <c r="E43" s="105" t="s">
        <v>65</v>
      </c>
      <c r="F43" s="105" t="s">
        <v>1310</v>
      </c>
      <c r="G43" s="105" t="s">
        <v>1310</v>
      </c>
      <c r="H43" s="105" t="s">
        <v>1311</v>
      </c>
      <c r="I43" s="105" t="s">
        <v>1192</v>
      </c>
      <c r="J43" s="106">
        <v>45551</v>
      </c>
      <c r="K43" s="105"/>
      <c r="L43" s="105" t="s">
        <v>1181</v>
      </c>
      <c r="M43" s="105" t="s">
        <v>1182</v>
      </c>
      <c r="N43" s="106">
        <v>27861</v>
      </c>
      <c r="O43" s="119" t="s">
        <v>1150</v>
      </c>
      <c r="P43" s="105" t="s">
        <v>1183</v>
      </c>
      <c r="Q43" s="105" t="s">
        <v>1184</v>
      </c>
      <c r="R43" s="106">
        <v>44375</v>
      </c>
      <c r="S43" s="105" t="s">
        <v>1185</v>
      </c>
      <c r="T43" s="105" t="s">
        <v>1186</v>
      </c>
      <c r="U43" s="107" t="s">
        <v>1187</v>
      </c>
      <c r="V43" s="108">
        <v>45668</v>
      </c>
      <c r="W43">
        <v>3800405138</v>
      </c>
      <c r="X43" s="105" t="s">
        <v>1188</v>
      </c>
      <c r="Y43" s="109">
        <v>45861</v>
      </c>
      <c r="AB43" s="116" t="str">
        <f t="shared" si="3"/>
        <v>CÔNG TY CỔ PHẦN PHÁT TRIỂN HẠ TẦNG KỸ THUẬT BECAMEX - BÌNH PHƯỚC</v>
      </c>
      <c r="AC43" s="116" t="str">
        <f t="shared" si="4"/>
        <v>Căn 56 lô AM-16</v>
      </c>
      <c r="AD43" s="120">
        <f t="shared" si="2"/>
        <v>187</v>
      </c>
      <c r="AE43" s="121"/>
      <c r="AF43" s="135" t="s">
        <v>151</v>
      </c>
      <c r="AG43" s="111" t="s">
        <v>65</v>
      </c>
      <c r="AH43" s="111" t="s">
        <v>868</v>
      </c>
      <c r="AI43" s="104">
        <v>42</v>
      </c>
      <c r="AJ43" s="136"/>
    </row>
    <row r="44" spans="1:36" ht="18.75" x14ac:dyDescent="0.25">
      <c r="A44" s="105" t="s">
        <v>1177</v>
      </c>
      <c r="B44" s="142" t="s">
        <v>1312</v>
      </c>
      <c r="C44" s="112" t="s">
        <v>1312</v>
      </c>
      <c r="D44" s="105" t="s">
        <v>1313</v>
      </c>
      <c r="E44" s="105" t="s">
        <v>1208</v>
      </c>
      <c r="F44" s="119" t="s">
        <v>1717</v>
      </c>
      <c r="G44" s="105" t="s">
        <v>1203</v>
      </c>
      <c r="H44" s="105" t="s">
        <v>1314</v>
      </c>
      <c r="I44" s="143" t="s">
        <v>1210</v>
      </c>
      <c r="J44" s="106">
        <v>45652</v>
      </c>
      <c r="K44" s="105"/>
      <c r="L44" s="105" t="s">
        <v>1181</v>
      </c>
      <c r="M44" s="105" t="s">
        <v>1182</v>
      </c>
      <c r="N44" s="106">
        <v>27861</v>
      </c>
      <c r="O44" s="119" t="s">
        <v>1150</v>
      </c>
      <c r="P44" s="105" t="s">
        <v>1183</v>
      </c>
      <c r="Q44" s="105" t="s">
        <v>1184</v>
      </c>
      <c r="R44" s="106">
        <v>44375</v>
      </c>
      <c r="S44" s="105" t="s">
        <v>1185</v>
      </c>
      <c r="T44" s="105" t="s">
        <v>1186</v>
      </c>
      <c r="U44" s="107" t="s">
        <v>1187</v>
      </c>
      <c r="V44" s="108">
        <v>45668</v>
      </c>
      <c r="W44">
        <v>3800405138</v>
      </c>
      <c r="X44" s="105" t="s">
        <v>1188</v>
      </c>
      <c r="Y44" s="109">
        <v>45861</v>
      </c>
      <c r="AB44" s="126" t="e">
        <f t="shared" si="3"/>
        <v>#N/A</v>
      </c>
      <c r="AC44" s="126" t="e">
        <f t="shared" si="4"/>
        <v>#N/A</v>
      </c>
      <c r="AD44" s="144" t="e">
        <f t="shared" si="2"/>
        <v>#N/A</v>
      </c>
      <c r="AE44" s="121"/>
      <c r="AF44" s="135" t="s">
        <v>152</v>
      </c>
      <c r="AG44" s="111" t="s">
        <v>65</v>
      </c>
      <c r="AH44" s="111" t="s">
        <v>869</v>
      </c>
      <c r="AI44" s="104">
        <v>43</v>
      </c>
      <c r="AJ44" s="136"/>
    </row>
    <row r="45" spans="1:36" ht="18.75" x14ac:dyDescent="0.25">
      <c r="A45" s="105" t="s">
        <v>1177</v>
      </c>
      <c r="B45" s="112" t="s">
        <v>221</v>
      </c>
      <c r="C45" s="112" t="s">
        <v>221</v>
      </c>
      <c r="D45" s="105" t="s">
        <v>1315</v>
      </c>
      <c r="E45" s="105" t="s">
        <v>65</v>
      </c>
      <c r="F45" s="105" t="s">
        <v>1316</v>
      </c>
      <c r="G45" s="105" t="s">
        <v>1316</v>
      </c>
      <c r="H45" s="105" t="s">
        <v>246</v>
      </c>
      <c r="I45" s="105" t="s">
        <v>1180</v>
      </c>
      <c r="J45" s="106">
        <v>45511</v>
      </c>
      <c r="K45" s="105"/>
      <c r="L45" s="105" t="s">
        <v>1181</v>
      </c>
      <c r="M45" s="105" t="s">
        <v>1182</v>
      </c>
      <c r="N45" s="106">
        <v>27861</v>
      </c>
      <c r="O45" s="119" t="s">
        <v>1150</v>
      </c>
      <c r="P45" s="105" t="s">
        <v>1183</v>
      </c>
      <c r="Q45" s="105" t="s">
        <v>1184</v>
      </c>
      <c r="R45" s="106">
        <v>44375</v>
      </c>
      <c r="S45" s="105" t="s">
        <v>1185</v>
      </c>
      <c r="T45" s="105" t="s">
        <v>1186</v>
      </c>
      <c r="U45" s="107" t="s">
        <v>1187</v>
      </c>
      <c r="V45" s="108">
        <v>45668</v>
      </c>
      <c r="W45">
        <v>3800405138</v>
      </c>
      <c r="X45" s="105" t="s">
        <v>1188</v>
      </c>
      <c r="Y45" s="109">
        <v>45861</v>
      </c>
      <c r="AB45" s="116" t="str">
        <f t="shared" si="3"/>
        <v>CÔNG TY CỔ PHẦN PHÁT TRIỂN HẠ TẦNG KỸ THUẬT BECAMEX - BÌNH PHƯỚC</v>
      </c>
      <c r="AC45" s="116" t="str">
        <f t="shared" si="4"/>
        <v>Căn 12A lô TĐC-44</v>
      </c>
      <c r="AD45" s="120">
        <f t="shared" si="2"/>
        <v>104</v>
      </c>
      <c r="AE45" s="121"/>
      <c r="AF45" s="113" t="s">
        <v>153</v>
      </c>
      <c r="AG45" s="111" t="s">
        <v>65</v>
      </c>
      <c r="AH45" s="111" t="s">
        <v>870</v>
      </c>
      <c r="AI45" s="104">
        <v>44</v>
      </c>
      <c r="AJ45" s="136"/>
    </row>
    <row r="46" spans="1:36" ht="18.75" x14ac:dyDescent="0.25">
      <c r="A46" s="105" t="s">
        <v>1177</v>
      </c>
      <c r="B46" s="142" t="s">
        <v>1317</v>
      </c>
      <c r="C46" s="112" t="s">
        <v>1317</v>
      </c>
      <c r="D46" s="105" t="s">
        <v>1318</v>
      </c>
      <c r="E46" s="105" t="s">
        <v>1208</v>
      </c>
      <c r="F46" s="119" t="s">
        <v>1718</v>
      </c>
      <c r="G46" s="105" t="s">
        <v>1203</v>
      </c>
      <c r="H46" s="105" t="s">
        <v>1319</v>
      </c>
      <c r="I46" s="143" t="s">
        <v>1210</v>
      </c>
      <c r="J46" s="106">
        <v>45652</v>
      </c>
      <c r="K46" s="105"/>
      <c r="L46" s="105" t="s">
        <v>1181</v>
      </c>
      <c r="M46" s="105" t="s">
        <v>1182</v>
      </c>
      <c r="N46" s="106">
        <v>27861</v>
      </c>
      <c r="O46" s="119" t="s">
        <v>1150</v>
      </c>
      <c r="P46" s="105" t="s">
        <v>1183</v>
      </c>
      <c r="Q46" s="105" t="s">
        <v>1184</v>
      </c>
      <c r="R46" s="106">
        <v>44375</v>
      </c>
      <c r="S46" s="105" t="s">
        <v>1185</v>
      </c>
      <c r="T46" s="105" t="s">
        <v>1186</v>
      </c>
      <c r="U46" s="107" t="s">
        <v>1187</v>
      </c>
      <c r="V46" s="108">
        <v>45668</v>
      </c>
      <c r="W46">
        <v>3800405138</v>
      </c>
      <c r="X46" s="105" t="s">
        <v>1188</v>
      </c>
      <c r="Y46" s="109">
        <v>45861</v>
      </c>
      <c r="AB46" s="126" t="e">
        <f t="shared" si="3"/>
        <v>#N/A</v>
      </c>
      <c r="AC46" s="126" t="e">
        <f t="shared" si="4"/>
        <v>#N/A</v>
      </c>
      <c r="AD46" s="144" t="e">
        <f t="shared" si="2"/>
        <v>#N/A</v>
      </c>
      <c r="AE46" s="121"/>
      <c r="AF46" s="113" t="s">
        <v>154</v>
      </c>
      <c r="AG46" s="111" t="s">
        <v>65</v>
      </c>
      <c r="AH46" s="111" t="s">
        <v>871</v>
      </c>
      <c r="AI46" s="104">
        <v>45</v>
      </c>
      <c r="AJ46" s="136"/>
    </row>
    <row r="47" spans="1:36" ht="18.75" x14ac:dyDescent="0.25">
      <c r="A47" s="105" t="s">
        <v>1177</v>
      </c>
      <c r="B47" s="112" t="s">
        <v>222</v>
      </c>
      <c r="C47" s="112" t="s">
        <v>222</v>
      </c>
      <c r="D47" s="105" t="s">
        <v>1320</v>
      </c>
      <c r="E47" s="105" t="s">
        <v>65</v>
      </c>
      <c r="F47" s="105" t="s">
        <v>1321</v>
      </c>
      <c r="G47" s="105" t="s">
        <v>1321</v>
      </c>
      <c r="H47" s="105" t="s">
        <v>247</v>
      </c>
      <c r="I47" s="105" t="s">
        <v>1180</v>
      </c>
      <c r="J47" s="106">
        <v>45511</v>
      </c>
      <c r="K47" s="105"/>
      <c r="L47" s="105" t="s">
        <v>1181</v>
      </c>
      <c r="M47" s="105" t="s">
        <v>1182</v>
      </c>
      <c r="N47" s="106">
        <v>27861</v>
      </c>
      <c r="O47" s="119" t="s">
        <v>1150</v>
      </c>
      <c r="P47" s="105" t="s">
        <v>1183</v>
      </c>
      <c r="Q47" s="105" t="s">
        <v>1184</v>
      </c>
      <c r="R47" s="106">
        <v>44375</v>
      </c>
      <c r="S47" s="105" t="s">
        <v>1185</v>
      </c>
      <c r="T47" s="105" t="s">
        <v>1186</v>
      </c>
      <c r="U47" s="107" t="s">
        <v>1187</v>
      </c>
      <c r="V47" s="108">
        <v>45668</v>
      </c>
      <c r="W47">
        <v>3800405138</v>
      </c>
      <c r="X47" s="105" t="s">
        <v>1188</v>
      </c>
      <c r="Y47" s="109">
        <v>45861</v>
      </c>
      <c r="AB47" s="116" t="str">
        <f t="shared" si="3"/>
        <v>CÔNG TY CỔ PHẦN PHÁT TRIỂN HẠ TẦNG KỸ THUẬT BECAMEX - BÌNH PHƯỚC</v>
      </c>
      <c r="AC47" s="116" t="str">
        <f t="shared" si="4"/>
        <v>Căn 14 lô TĐC-44</v>
      </c>
      <c r="AD47" s="120">
        <f t="shared" si="2"/>
        <v>105</v>
      </c>
      <c r="AE47" s="121"/>
      <c r="AF47" s="113" t="s">
        <v>155</v>
      </c>
      <c r="AG47" s="111" t="s">
        <v>65</v>
      </c>
      <c r="AH47" s="111" t="s">
        <v>872</v>
      </c>
      <c r="AI47" s="104">
        <v>46</v>
      </c>
      <c r="AJ47" s="136"/>
    </row>
    <row r="48" spans="1:36" ht="18.75" x14ac:dyDescent="0.25">
      <c r="A48" s="105" t="s">
        <v>1177</v>
      </c>
      <c r="B48" s="112" t="s">
        <v>219</v>
      </c>
      <c r="C48" s="112" t="s">
        <v>219</v>
      </c>
      <c r="D48" s="105" t="s">
        <v>1322</v>
      </c>
      <c r="E48" s="105" t="s">
        <v>65</v>
      </c>
      <c r="F48" s="105" t="s">
        <v>1323</v>
      </c>
      <c r="G48" s="105" t="s">
        <v>1323</v>
      </c>
      <c r="H48" s="105" t="s">
        <v>244</v>
      </c>
      <c r="I48" s="105" t="s">
        <v>1180</v>
      </c>
      <c r="J48" s="106">
        <v>45511</v>
      </c>
      <c r="K48" s="105"/>
      <c r="L48" s="105" t="s">
        <v>1181</v>
      </c>
      <c r="M48" s="105" t="s">
        <v>1182</v>
      </c>
      <c r="N48" s="106">
        <v>27861</v>
      </c>
      <c r="O48" s="119" t="s">
        <v>1150</v>
      </c>
      <c r="P48" s="105" t="s">
        <v>1183</v>
      </c>
      <c r="Q48" s="105" t="s">
        <v>1184</v>
      </c>
      <c r="R48" s="106">
        <v>44375</v>
      </c>
      <c r="S48" s="105" t="s">
        <v>1185</v>
      </c>
      <c r="T48" s="105" t="s">
        <v>1186</v>
      </c>
      <c r="U48" s="107" t="s">
        <v>1187</v>
      </c>
      <c r="V48" s="108">
        <v>45668</v>
      </c>
      <c r="W48">
        <v>3800405138</v>
      </c>
      <c r="X48" s="105" t="s">
        <v>1188</v>
      </c>
      <c r="Y48" s="109">
        <v>45861</v>
      </c>
      <c r="AB48" s="116" t="str">
        <f t="shared" si="3"/>
        <v>CÔNG TY CỔ PHẦN PHÁT TRIỂN HẠ TẦNG KỸ THUẬT BECAMEX - BÌNH PHƯỚC</v>
      </c>
      <c r="AC48" s="116" t="str">
        <f t="shared" si="4"/>
        <v>Căn 11 lô TĐC-44</v>
      </c>
      <c r="AD48" s="120">
        <f t="shared" si="2"/>
        <v>102</v>
      </c>
      <c r="AE48" s="121"/>
      <c r="AF48" s="113" t="s">
        <v>156</v>
      </c>
      <c r="AG48" s="111" t="s">
        <v>65</v>
      </c>
      <c r="AH48" s="111" t="s">
        <v>873</v>
      </c>
      <c r="AI48" s="104">
        <v>47</v>
      </c>
      <c r="AJ48" s="136"/>
    </row>
    <row r="49" spans="1:36" ht="18.75" x14ac:dyDescent="0.25">
      <c r="A49" s="105" t="s">
        <v>1177</v>
      </c>
      <c r="B49" s="112" t="s">
        <v>228</v>
      </c>
      <c r="C49" s="112" t="s">
        <v>228</v>
      </c>
      <c r="D49" s="105" t="s">
        <v>1324</v>
      </c>
      <c r="E49" s="105" t="s">
        <v>65</v>
      </c>
      <c r="F49" s="105" t="s">
        <v>1325</v>
      </c>
      <c r="G49" s="105" t="s">
        <v>1325</v>
      </c>
      <c r="H49" s="105" t="s">
        <v>253</v>
      </c>
      <c r="I49" s="105" t="s">
        <v>1180</v>
      </c>
      <c r="J49" s="106">
        <v>45511</v>
      </c>
      <c r="K49" s="105"/>
      <c r="L49" s="105" t="s">
        <v>1181</v>
      </c>
      <c r="M49" s="105" t="s">
        <v>1182</v>
      </c>
      <c r="N49" s="106">
        <v>27861</v>
      </c>
      <c r="O49" s="119" t="s">
        <v>1150</v>
      </c>
      <c r="P49" s="105" t="s">
        <v>1183</v>
      </c>
      <c r="Q49" s="105" t="s">
        <v>1184</v>
      </c>
      <c r="R49" s="106">
        <v>44375</v>
      </c>
      <c r="S49" s="105" t="s">
        <v>1185</v>
      </c>
      <c r="T49" s="105" t="s">
        <v>1186</v>
      </c>
      <c r="U49" s="107" t="s">
        <v>1187</v>
      </c>
      <c r="V49" s="108">
        <v>45668</v>
      </c>
      <c r="W49">
        <v>3800405138</v>
      </c>
      <c r="X49" s="105" t="s">
        <v>1188</v>
      </c>
      <c r="Y49" s="109">
        <v>45861</v>
      </c>
      <c r="AB49" s="116" t="str">
        <f t="shared" si="3"/>
        <v>CÔNG TY CỔ PHẦN PHÁT TRIỂN HẠ TẦNG KỸ THUẬT BECAMEX - BÌNH PHƯỚC</v>
      </c>
      <c r="AC49" s="116" t="str">
        <f t="shared" si="4"/>
        <v>Căn 20 lô TĐC-44</v>
      </c>
      <c r="AD49" s="120">
        <f t="shared" si="2"/>
        <v>111</v>
      </c>
      <c r="AE49" s="121"/>
      <c r="AF49" s="113" t="s">
        <v>157</v>
      </c>
      <c r="AG49" s="111" t="s">
        <v>65</v>
      </c>
      <c r="AH49" s="111" t="s">
        <v>874</v>
      </c>
      <c r="AI49" s="104">
        <v>48</v>
      </c>
      <c r="AJ49" s="136"/>
    </row>
    <row r="50" spans="1:36" ht="18.75" x14ac:dyDescent="0.25">
      <c r="A50" s="105" t="s">
        <v>1177</v>
      </c>
      <c r="B50" s="112" t="s">
        <v>113</v>
      </c>
      <c r="C50" s="112" t="s">
        <v>113</v>
      </c>
      <c r="D50" s="105" t="s">
        <v>1326</v>
      </c>
      <c r="E50" s="105" t="s">
        <v>143</v>
      </c>
      <c r="F50" s="105" t="s">
        <v>1203</v>
      </c>
      <c r="G50" s="105" t="s">
        <v>1203</v>
      </c>
      <c r="H50" s="105" t="s">
        <v>1327</v>
      </c>
      <c r="I50" s="105" t="s">
        <v>1205</v>
      </c>
      <c r="J50" s="106">
        <v>45092</v>
      </c>
      <c r="K50" s="105"/>
      <c r="L50" s="105" t="s">
        <v>1181</v>
      </c>
      <c r="M50" s="105" t="s">
        <v>1182</v>
      </c>
      <c r="N50" s="106">
        <v>27861</v>
      </c>
      <c r="O50" s="119" t="s">
        <v>1150</v>
      </c>
      <c r="P50" s="105" t="s">
        <v>1183</v>
      </c>
      <c r="Q50" s="105" t="s">
        <v>1184</v>
      </c>
      <c r="R50" s="106">
        <v>44375</v>
      </c>
      <c r="S50" s="105" t="s">
        <v>1185</v>
      </c>
      <c r="T50" s="105" t="s">
        <v>1186</v>
      </c>
      <c r="U50" s="107" t="s">
        <v>1187</v>
      </c>
      <c r="V50" s="108">
        <v>45668</v>
      </c>
      <c r="W50">
        <v>3800405138</v>
      </c>
      <c r="X50" s="105" t="s">
        <v>1188</v>
      </c>
      <c r="Y50" s="109">
        <v>45861</v>
      </c>
      <c r="AB50" s="116" t="str">
        <f t="shared" si="3"/>
        <v>CÔNG TY CỔ PHẦN PHÁT TRIỂN HẠ TẦNG KỸ THUẬT BECAMEX-BÌNH PHƯỚC(55 Lô TDC-31)</v>
      </c>
      <c r="AC50" s="116" t="str">
        <f t="shared" si="4"/>
        <v>Căn 55 lô TĐC-31</v>
      </c>
      <c r="AD50" s="120">
        <f t="shared" si="2"/>
        <v>90</v>
      </c>
      <c r="AE50" s="121"/>
      <c r="AF50" s="113" t="s">
        <v>158</v>
      </c>
      <c r="AG50" s="111" t="s">
        <v>65</v>
      </c>
      <c r="AH50" s="111" t="s">
        <v>875</v>
      </c>
      <c r="AI50" s="104">
        <v>49</v>
      </c>
      <c r="AJ50" s="136"/>
    </row>
    <row r="51" spans="1:36" ht="18.75" x14ac:dyDescent="0.25">
      <c r="A51" s="105" t="s">
        <v>1177</v>
      </c>
      <c r="B51" s="112" t="s">
        <v>333</v>
      </c>
      <c r="C51" s="112" t="s">
        <v>333</v>
      </c>
      <c r="D51" s="105" t="s">
        <v>1328</v>
      </c>
      <c r="E51" s="105" t="s">
        <v>65</v>
      </c>
      <c r="F51" s="105" t="s">
        <v>1329</v>
      </c>
      <c r="G51" s="105" t="s">
        <v>1329</v>
      </c>
      <c r="H51" s="105" t="s">
        <v>1330</v>
      </c>
      <c r="I51" s="105" t="s">
        <v>1192</v>
      </c>
      <c r="J51" s="106">
        <v>45551</v>
      </c>
      <c r="K51" s="105"/>
      <c r="L51" s="105" t="s">
        <v>1181</v>
      </c>
      <c r="M51" s="105" t="s">
        <v>1182</v>
      </c>
      <c r="N51" s="106">
        <v>27861</v>
      </c>
      <c r="O51" s="119" t="s">
        <v>1150</v>
      </c>
      <c r="P51" s="105" t="s">
        <v>1183</v>
      </c>
      <c r="Q51" s="105" t="s">
        <v>1184</v>
      </c>
      <c r="R51" s="106">
        <v>44375</v>
      </c>
      <c r="S51" s="105" t="s">
        <v>1185</v>
      </c>
      <c r="T51" s="105" t="s">
        <v>1186</v>
      </c>
      <c r="U51" s="107" t="s">
        <v>1187</v>
      </c>
      <c r="V51" s="108">
        <v>45668</v>
      </c>
      <c r="W51">
        <v>3800405138</v>
      </c>
      <c r="X51" s="105" t="s">
        <v>1188</v>
      </c>
      <c r="Y51" s="109">
        <v>45861</v>
      </c>
      <c r="AB51" s="116" t="str">
        <f t="shared" si="3"/>
        <v>CÔNG TY CỔ PHẦN PHÁT TRIỂN HẠ TẦNG KỸ THUẬT BECAMEX - BÌNH PHƯỚC</v>
      </c>
      <c r="AC51" s="116" t="str">
        <f t="shared" si="4"/>
        <v>Căn 50 lô AM-16</v>
      </c>
      <c r="AD51" s="120">
        <f t="shared" si="2"/>
        <v>181</v>
      </c>
      <c r="AE51" s="121"/>
      <c r="AF51" s="113" t="s">
        <v>159</v>
      </c>
      <c r="AG51" s="111" t="s">
        <v>65</v>
      </c>
      <c r="AH51" s="111" t="s">
        <v>876</v>
      </c>
      <c r="AI51" s="104">
        <v>50</v>
      </c>
      <c r="AJ51" s="136"/>
    </row>
    <row r="52" spans="1:36" ht="18.75" x14ac:dyDescent="0.25">
      <c r="A52" s="105" t="s">
        <v>1177</v>
      </c>
      <c r="B52" s="142" t="s">
        <v>1331</v>
      </c>
      <c r="C52" s="112" t="s">
        <v>1331</v>
      </c>
      <c r="D52" s="105" t="s">
        <v>1332</v>
      </c>
      <c r="E52" s="105" t="s">
        <v>1208</v>
      </c>
      <c r="F52" s="119" t="s">
        <v>1719</v>
      </c>
      <c r="G52" s="105" t="s">
        <v>1203</v>
      </c>
      <c r="H52" s="105" t="s">
        <v>1333</v>
      </c>
      <c r="I52" s="143" t="s">
        <v>1210</v>
      </c>
      <c r="J52" s="106">
        <v>45652</v>
      </c>
      <c r="K52" s="105"/>
      <c r="L52" s="105" t="s">
        <v>1181</v>
      </c>
      <c r="M52" s="105" t="s">
        <v>1182</v>
      </c>
      <c r="N52" s="106">
        <v>27861</v>
      </c>
      <c r="O52" s="119" t="s">
        <v>1150</v>
      </c>
      <c r="P52" s="105" t="s">
        <v>1183</v>
      </c>
      <c r="Q52" s="105" t="s">
        <v>1184</v>
      </c>
      <c r="R52" s="106">
        <v>44375</v>
      </c>
      <c r="S52" s="105" t="s">
        <v>1185</v>
      </c>
      <c r="T52" s="105" t="s">
        <v>1186</v>
      </c>
      <c r="U52" s="107" t="s">
        <v>1187</v>
      </c>
      <c r="V52" s="108">
        <v>45668</v>
      </c>
      <c r="W52">
        <v>3800405138</v>
      </c>
      <c r="X52" s="105" t="s">
        <v>1188</v>
      </c>
      <c r="Y52" s="109">
        <v>45861</v>
      </c>
      <c r="AB52" s="126" t="e">
        <f t="shared" si="3"/>
        <v>#N/A</v>
      </c>
      <c r="AC52" s="126" t="e">
        <f t="shared" si="4"/>
        <v>#N/A</v>
      </c>
      <c r="AD52" s="144" t="e">
        <f t="shared" si="2"/>
        <v>#N/A</v>
      </c>
      <c r="AE52" s="121"/>
      <c r="AF52" s="113" t="s">
        <v>160</v>
      </c>
      <c r="AG52" s="111" t="s">
        <v>65</v>
      </c>
      <c r="AH52" s="111" t="s">
        <v>877</v>
      </c>
      <c r="AI52" s="104">
        <v>51</v>
      </c>
      <c r="AJ52" s="136"/>
    </row>
    <row r="53" spans="1:36" ht="18.75" x14ac:dyDescent="0.25">
      <c r="A53" s="105" t="s">
        <v>1177</v>
      </c>
      <c r="B53" s="112" t="s">
        <v>211</v>
      </c>
      <c r="C53" s="112" t="s">
        <v>211</v>
      </c>
      <c r="D53" s="105" t="s">
        <v>1334</v>
      </c>
      <c r="E53" s="105" t="s">
        <v>65</v>
      </c>
      <c r="F53" s="105" t="s">
        <v>1335</v>
      </c>
      <c r="G53" s="105" t="s">
        <v>1335</v>
      </c>
      <c r="H53" s="105" t="s">
        <v>236</v>
      </c>
      <c r="I53" s="105" t="s">
        <v>1180</v>
      </c>
      <c r="J53" s="106">
        <v>45511</v>
      </c>
      <c r="K53" s="105"/>
      <c r="L53" s="105" t="s">
        <v>1181</v>
      </c>
      <c r="M53" s="105" t="s">
        <v>1182</v>
      </c>
      <c r="N53" s="106">
        <v>27861</v>
      </c>
      <c r="O53" s="119" t="s">
        <v>1150</v>
      </c>
      <c r="P53" s="105" t="s">
        <v>1183</v>
      </c>
      <c r="Q53" s="105" t="s">
        <v>1184</v>
      </c>
      <c r="R53" s="106">
        <v>44375</v>
      </c>
      <c r="S53" s="105" t="s">
        <v>1185</v>
      </c>
      <c r="T53" s="105" t="s">
        <v>1186</v>
      </c>
      <c r="U53" s="107" t="s">
        <v>1187</v>
      </c>
      <c r="V53" s="108">
        <v>45668</v>
      </c>
      <c r="W53">
        <v>3800405138</v>
      </c>
      <c r="X53" s="105" t="s">
        <v>1188</v>
      </c>
      <c r="Y53" s="109">
        <v>45861</v>
      </c>
      <c r="AB53" s="116" t="str">
        <f t="shared" si="3"/>
        <v>CÔNG TY CỔ PHẦN PHÁT TRIỂN HẠ TẦNG KỸ THUẬT BECAMEX - BÌNH PHƯỚC</v>
      </c>
      <c r="AC53" s="116" t="str">
        <f t="shared" si="4"/>
        <v xml:space="preserve"> Căn 3 lô TĐC-44</v>
      </c>
      <c r="AD53" s="120">
        <f t="shared" si="2"/>
        <v>94</v>
      </c>
      <c r="AE53" s="121"/>
      <c r="AF53" s="113" t="s">
        <v>161</v>
      </c>
      <c r="AG53" s="111" t="s">
        <v>65</v>
      </c>
      <c r="AH53" s="111" t="s">
        <v>878</v>
      </c>
      <c r="AI53" s="104">
        <v>52</v>
      </c>
      <c r="AJ53" s="136"/>
    </row>
    <row r="54" spans="1:36" ht="18.75" x14ac:dyDescent="0.25">
      <c r="A54" s="105" t="s">
        <v>1177</v>
      </c>
      <c r="B54" s="112" t="s">
        <v>286</v>
      </c>
      <c r="C54" s="112" t="s">
        <v>286</v>
      </c>
      <c r="D54" s="105" t="s">
        <v>1336</v>
      </c>
      <c r="E54" s="105" t="s">
        <v>65</v>
      </c>
      <c r="F54" s="105" t="s">
        <v>1337</v>
      </c>
      <c r="G54" s="105" t="s">
        <v>1337</v>
      </c>
      <c r="H54" s="105" t="s">
        <v>1338</v>
      </c>
      <c r="I54" s="105" t="s">
        <v>1192</v>
      </c>
      <c r="J54" s="106">
        <v>45549</v>
      </c>
      <c r="K54" s="105"/>
      <c r="L54" s="105" t="s">
        <v>1181</v>
      </c>
      <c r="M54" s="105" t="s">
        <v>1182</v>
      </c>
      <c r="N54" s="106">
        <v>27861</v>
      </c>
      <c r="O54" s="119" t="s">
        <v>1150</v>
      </c>
      <c r="P54" s="105" t="s">
        <v>1183</v>
      </c>
      <c r="Q54" s="105" t="s">
        <v>1184</v>
      </c>
      <c r="R54" s="106">
        <v>44375</v>
      </c>
      <c r="S54" s="105" t="s">
        <v>1185</v>
      </c>
      <c r="T54" s="105" t="s">
        <v>1186</v>
      </c>
      <c r="U54" s="107" t="s">
        <v>1187</v>
      </c>
      <c r="V54" s="108">
        <v>45668</v>
      </c>
      <c r="W54">
        <v>3800405138</v>
      </c>
      <c r="X54" s="105" t="s">
        <v>1188</v>
      </c>
      <c r="Y54" s="109">
        <v>45861</v>
      </c>
      <c r="AB54" s="116" t="str">
        <f t="shared" si="3"/>
        <v>CÔNG TY CỔ PHẦN PHÁT TRIỂN HẠ TẦNG KỸ THUẬT BECAMEX - BÌNH PHƯỚC</v>
      </c>
      <c r="AC54" s="116" t="str">
        <f t="shared" si="4"/>
        <v>Căn 21 lô AM-16</v>
      </c>
      <c r="AD54" s="120">
        <f t="shared" si="2"/>
        <v>152</v>
      </c>
      <c r="AE54" s="121"/>
      <c r="AF54" s="113" t="s">
        <v>162</v>
      </c>
      <c r="AG54" s="111" t="s">
        <v>65</v>
      </c>
      <c r="AH54" s="111" t="s">
        <v>879</v>
      </c>
      <c r="AI54" s="104">
        <v>53</v>
      </c>
      <c r="AJ54" s="136"/>
    </row>
    <row r="55" spans="1:36" ht="18.75" x14ac:dyDescent="0.25">
      <c r="A55" s="105" t="s">
        <v>1177</v>
      </c>
      <c r="B55" s="112" t="s">
        <v>639</v>
      </c>
      <c r="C55" s="112" t="s">
        <v>639</v>
      </c>
      <c r="D55" s="105" t="s">
        <v>1339</v>
      </c>
      <c r="E55" s="105" t="s">
        <v>65</v>
      </c>
      <c r="F55" s="105" t="s">
        <v>1340</v>
      </c>
      <c r="G55" s="105" t="s">
        <v>1340</v>
      </c>
      <c r="H55" s="105" t="s">
        <v>1341</v>
      </c>
      <c r="I55" s="105" t="s">
        <v>1192</v>
      </c>
      <c r="J55" s="106">
        <v>45549</v>
      </c>
      <c r="K55" s="105"/>
      <c r="L55" s="105" t="s">
        <v>1181</v>
      </c>
      <c r="M55" s="105" t="s">
        <v>1182</v>
      </c>
      <c r="N55" s="106">
        <v>27861</v>
      </c>
      <c r="O55" s="119" t="s">
        <v>1150</v>
      </c>
      <c r="P55" s="105" t="s">
        <v>1183</v>
      </c>
      <c r="Q55" s="105" t="s">
        <v>1184</v>
      </c>
      <c r="R55" s="106">
        <v>44375</v>
      </c>
      <c r="S55" s="105" t="s">
        <v>1185</v>
      </c>
      <c r="T55" s="105" t="s">
        <v>1186</v>
      </c>
      <c r="U55" s="107" t="s">
        <v>1187</v>
      </c>
      <c r="V55" s="108">
        <v>45668</v>
      </c>
      <c r="W55">
        <v>3800405138</v>
      </c>
      <c r="X55" s="105" t="s">
        <v>1188</v>
      </c>
      <c r="Y55" s="109">
        <v>45861</v>
      </c>
      <c r="AB55" s="116" t="str">
        <f t="shared" si="3"/>
        <v>CÔNG TY CỔ PHẦN PHÁT TRIỂN HẠ TẦNG KỸ THUẬT BECAMEX - BÌNH PHƯỚC</v>
      </c>
      <c r="AC55" s="116" t="str">
        <f t="shared" si="4"/>
        <v>Căn 40 lô AM-16</v>
      </c>
      <c r="AD55" s="120">
        <f t="shared" si="2"/>
        <v>171</v>
      </c>
      <c r="AE55" s="121"/>
      <c r="AF55" s="113" t="s">
        <v>163</v>
      </c>
      <c r="AG55" s="111" t="s">
        <v>65</v>
      </c>
      <c r="AH55" s="111" t="s">
        <v>880</v>
      </c>
      <c r="AI55" s="104">
        <v>54</v>
      </c>
      <c r="AJ55" s="136"/>
    </row>
    <row r="56" spans="1:36" ht="18.75" x14ac:dyDescent="0.25">
      <c r="A56" s="105" t="s">
        <v>1177</v>
      </c>
      <c r="B56" s="112" t="s">
        <v>328</v>
      </c>
      <c r="C56" s="112" t="s">
        <v>328</v>
      </c>
      <c r="D56" s="105" t="s">
        <v>1342</v>
      </c>
      <c r="E56" s="105" t="s">
        <v>65</v>
      </c>
      <c r="F56" s="105" t="s">
        <v>1343</v>
      </c>
      <c r="G56" s="105" t="s">
        <v>1343</v>
      </c>
      <c r="H56" s="105" t="s">
        <v>1344</v>
      </c>
      <c r="I56" s="105" t="s">
        <v>1192</v>
      </c>
      <c r="J56" s="106">
        <v>45551</v>
      </c>
      <c r="K56" s="105"/>
      <c r="L56" s="105" t="s">
        <v>1181</v>
      </c>
      <c r="M56" s="105" t="s">
        <v>1182</v>
      </c>
      <c r="N56" s="106">
        <v>27861</v>
      </c>
      <c r="O56" s="119" t="s">
        <v>1150</v>
      </c>
      <c r="P56" s="105" t="s">
        <v>1183</v>
      </c>
      <c r="Q56" s="105" t="s">
        <v>1184</v>
      </c>
      <c r="R56" s="106">
        <v>44375</v>
      </c>
      <c r="S56" s="105" t="s">
        <v>1185</v>
      </c>
      <c r="T56" s="105" t="s">
        <v>1186</v>
      </c>
      <c r="U56" s="107" t="s">
        <v>1187</v>
      </c>
      <c r="V56" s="108">
        <v>45668</v>
      </c>
      <c r="W56">
        <v>3800405138</v>
      </c>
      <c r="X56" s="105" t="s">
        <v>1188</v>
      </c>
      <c r="Y56" s="109">
        <v>45861</v>
      </c>
      <c r="AB56" s="116" t="str">
        <f t="shared" si="3"/>
        <v>CÔNG TY CỔ PHẦN PHÁT TRIỂN HẠ TẦNG KỸ THUẬT BECAMEX - BÌNH PHƯỚC</v>
      </c>
      <c r="AC56" s="116" t="str">
        <f t="shared" si="4"/>
        <v>Căn 55 lô AM-16</v>
      </c>
      <c r="AD56" s="120">
        <f t="shared" si="2"/>
        <v>186</v>
      </c>
      <c r="AE56" s="121"/>
      <c r="AF56" s="113" t="s">
        <v>164</v>
      </c>
      <c r="AG56" s="111" t="s">
        <v>65</v>
      </c>
      <c r="AH56" s="111" t="s">
        <v>881</v>
      </c>
      <c r="AI56" s="104">
        <v>55</v>
      </c>
      <c r="AJ56" s="136"/>
    </row>
    <row r="57" spans="1:36" ht="18.75" x14ac:dyDescent="0.25">
      <c r="A57" s="105" t="s">
        <v>1177</v>
      </c>
      <c r="B57" s="142" t="s">
        <v>1345</v>
      </c>
      <c r="C57" s="112" t="s">
        <v>1345</v>
      </c>
      <c r="D57" s="105" t="s">
        <v>1346</v>
      </c>
      <c r="E57" s="105" t="s">
        <v>1208</v>
      </c>
      <c r="F57" s="119" t="s">
        <v>1720</v>
      </c>
      <c r="G57" s="105" t="s">
        <v>1203</v>
      </c>
      <c r="H57" s="105" t="s">
        <v>1347</v>
      </c>
      <c r="I57" s="143" t="s">
        <v>1210</v>
      </c>
      <c r="J57" s="106">
        <v>45652</v>
      </c>
      <c r="K57" s="105"/>
      <c r="L57" s="105" t="s">
        <v>1181</v>
      </c>
      <c r="M57" s="105" t="s">
        <v>1182</v>
      </c>
      <c r="N57" s="106">
        <v>27861</v>
      </c>
      <c r="O57" s="119" t="s">
        <v>1150</v>
      </c>
      <c r="P57" s="105" t="s">
        <v>1183</v>
      </c>
      <c r="Q57" s="105" t="s">
        <v>1184</v>
      </c>
      <c r="R57" s="106">
        <v>44375</v>
      </c>
      <c r="S57" s="105" t="s">
        <v>1185</v>
      </c>
      <c r="T57" s="105" t="s">
        <v>1186</v>
      </c>
      <c r="U57" s="107" t="s">
        <v>1187</v>
      </c>
      <c r="V57" s="108">
        <v>45668</v>
      </c>
      <c r="W57">
        <v>3800405138</v>
      </c>
      <c r="X57" s="105" t="s">
        <v>1188</v>
      </c>
      <c r="Y57" s="109">
        <v>45861</v>
      </c>
      <c r="AB57" s="126" t="e">
        <f t="shared" si="3"/>
        <v>#N/A</v>
      </c>
      <c r="AC57" s="126" t="e">
        <f t="shared" si="4"/>
        <v>#N/A</v>
      </c>
      <c r="AD57" s="144" t="e">
        <f t="shared" si="2"/>
        <v>#N/A</v>
      </c>
      <c r="AE57" s="121"/>
      <c r="AF57" s="113" t="s">
        <v>165</v>
      </c>
      <c r="AG57" s="111" t="s">
        <v>65</v>
      </c>
      <c r="AH57" s="111" t="s">
        <v>882</v>
      </c>
      <c r="AI57" s="104">
        <v>56</v>
      </c>
      <c r="AJ57" s="136"/>
    </row>
    <row r="58" spans="1:36" ht="18.75" x14ac:dyDescent="0.25">
      <c r="A58" s="105" t="s">
        <v>1177</v>
      </c>
      <c r="B58" s="112" t="s">
        <v>294</v>
      </c>
      <c r="C58" s="112" t="s">
        <v>294</v>
      </c>
      <c r="D58" s="105" t="s">
        <v>1348</v>
      </c>
      <c r="E58" s="105" t="s">
        <v>65</v>
      </c>
      <c r="F58" s="105" t="s">
        <v>1349</v>
      </c>
      <c r="G58" s="105" t="s">
        <v>1349</v>
      </c>
      <c r="H58" s="105" t="s">
        <v>1350</v>
      </c>
      <c r="I58" s="105" t="s">
        <v>1192</v>
      </c>
      <c r="J58" s="106">
        <v>45549</v>
      </c>
      <c r="K58" s="105"/>
      <c r="L58" s="105" t="s">
        <v>1181</v>
      </c>
      <c r="M58" s="105" t="s">
        <v>1182</v>
      </c>
      <c r="N58" s="106">
        <v>27861</v>
      </c>
      <c r="O58" s="119" t="s">
        <v>1150</v>
      </c>
      <c r="P58" s="105" t="s">
        <v>1183</v>
      </c>
      <c r="Q58" s="105" t="s">
        <v>1184</v>
      </c>
      <c r="R58" s="106">
        <v>44375</v>
      </c>
      <c r="S58" s="105" t="s">
        <v>1185</v>
      </c>
      <c r="T58" s="105" t="s">
        <v>1186</v>
      </c>
      <c r="U58" s="107" t="s">
        <v>1187</v>
      </c>
      <c r="V58" s="108">
        <v>45668</v>
      </c>
      <c r="W58">
        <v>3800405138</v>
      </c>
      <c r="X58" s="105" t="s">
        <v>1188</v>
      </c>
      <c r="Y58" s="109">
        <v>45861</v>
      </c>
      <c r="AB58" s="116" t="str">
        <f t="shared" si="3"/>
        <v>CÔNG TY CỔ PHẦN PHÁT TRIỂN HẠ TẦNG KỸ THUẬT BECAMEX - BÌNH PHƯỚC</v>
      </c>
      <c r="AC58" s="116" t="str">
        <f t="shared" si="4"/>
        <v>Căn 29 lô AM-16</v>
      </c>
      <c r="AD58" s="120">
        <f t="shared" si="2"/>
        <v>160</v>
      </c>
      <c r="AE58" s="121"/>
      <c r="AF58" s="113" t="s">
        <v>166</v>
      </c>
      <c r="AG58" s="111" t="s">
        <v>65</v>
      </c>
      <c r="AH58" s="111" t="s">
        <v>883</v>
      </c>
      <c r="AI58" s="104">
        <v>57</v>
      </c>
      <c r="AJ58" s="136"/>
    </row>
    <row r="59" spans="1:36" ht="18.75" x14ac:dyDescent="0.25">
      <c r="A59" s="105" t="s">
        <v>1177</v>
      </c>
      <c r="B59" s="112" t="s">
        <v>331</v>
      </c>
      <c r="C59" s="112" t="s">
        <v>331</v>
      </c>
      <c r="D59" s="105" t="s">
        <v>1351</v>
      </c>
      <c r="E59" s="105" t="s">
        <v>65</v>
      </c>
      <c r="F59" s="105" t="s">
        <v>1352</v>
      </c>
      <c r="G59" s="105" t="s">
        <v>1352</v>
      </c>
      <c r="H59" s="105" t="s">
        <v>1353</v>
      </c>
      <c r="I59" s="105" t="s">
        <v>1192</v>
      </c>
      <c r="J59" s="106">
        <v>45551</v>
      </c>
      <c r="K59" s="105"/>
      <c r="L59" s="105" t="s">
        <v>1181</v>
      </c>
      <c r="M59" s="105" t="s">
        <v>1182</v>
      </c>
      <c r="N59" s="106">
        <v>27861</v>
      </c>
      <c r="O59" s="119" t="s">
        <v>1150</v>
      </c>
      <c r="P59" s="105" t="s">
        <v>1183</v>
      </c>
      <c r="Q59" s="105" t="s">
        <v>1184</v>
      </c>
      <c r="R59" s="106">
        <v>44375</v>
      </c>
      <c r="S59" s="105" t="s">
        <v>1185</v>
      </c>
      <c r="T59" s="105" t="s">
        <v>1186</v>
      </c>
      <c r="U59" s="107" t="s">
        <v>1187</v>
      </c>
      <c r="V59" s="108">
        <v>45668</v>
      </c>
      <c r="W59">
        <v>3800405138</v>
      </c>
      <c r="X59" s="105" t="s">
        <v>1188</v>
      </c>
      <c r="Y59" s="109">
        <v>45861</v>
      </c>
      <c r="AB59" s="116" t="str">
        <f t="shared" si="3"/>
        <v>CÔNG TY CỔ PHẦN PHÁT TRIỂN HẠ TẦNG KỸ THUẬT BECAMEX - BÌNH PHƯỚC</v>
      </c>
      <c r="AC59" s="116" t="str">
        <f t="shared" si="4"/>
        <v>Căn 52 lô AM-16</v>
      </c>
      <c r="AD59" s="120">
        <f t="shared" si="2"/>
        <v>183</v>
      </c>
      <c r="AE59" s="121"/>
      <c r="AF59" s="113" t="s">
        <v>167</v>
      </c>
      <c r="AG59" s="111" t="s">
        <v>65</v>
      </c>
      <c r="AH59" s="111" t="s">
        <v>884</v>
      </c>
      <c r="AI59" s="104">
        <v>58</v>
      </c>
      <c r="AJ59" s="136"/>
    </row>
    <row r="60" spans="1:36" ht="18.75" x14ac:dyDescent="0.25">
      <c r="A60" s="105" t="s">
        <v>1177</v>
      </c>
      <c r="B60" s="112" t="s">
        <v>634</v>
      </c>
      <c r="C60" s="112" t="s">
        <v>634</v>
      </c>
      <c r="D60" s="105" t="s">
        <v>1354</v>
      </c>
      <c r="E60" s="105" t="s">
        <v>65</v>
      </c>
      <c r="F60" s="105" t="s">
        <v>1355</v>
      </c>
      <c r="G60" s="105" t="s">
        <v>1355</v>
      </c>
      <c r="H60" s="105" t="s">
        <v>1356</v>
      </c>
      <c r="I60" s="105" t="s">
        <v>1192</v>
      </c>
      <c r="J60" s="106">
        <v>45549</v>
      </c>
      <c r="K60" s="105"/>
      <c r="L60" s="105" t="s">
        <v>1181</v>
      </c>
      <c r="M60" s="105" t="s">
        <v>1182</v>
      </c>
      <c r="N60" s="106">
        <v>27861</v>
      </c>
      <c r="O60" s="119" t="s">
        <v>1150</v>
      </c>
      <c r="P60" s="105" t="s">
        <v>1183</v>
      </c>
      <c r="Q60" s="105" t="s">
        <v>1184</v>
      </c>
      <c r="R60" s="106">
        <v>44375</v>
      </c>
      <c r="S60" s="105" t="s">
        <v>1185</v>
      </c>
      <c r="T60" s="105" t="s">
        <v>1186</v>
      </c>
      <c r="U60" s="107" t="s">
        <v>1187</v>
      </c>
      <c r="V60" s="108">
        <v>45668</v>
      </c>
      <c r="W60">
        <v>3800405138</v>
      </c>
      <c r="X60" s="105" t="s">
        <v>1188</v>
      </c>
      <c r="Y60" s="109">
        <v>45861</v>
      </c>
      <c r="AB60" s="116" t="str">
        <f t="shared" si="3"/>
        <v>CÔNG TY CỔ PHẦN PHÁT TRIỂN HẠ TẦNG KỸ THUẬT BECAMEX - BÌNH PHƯỚC</v>
      </c>
      <c r="AC60" s="116" t="str">
        <f t="shared" si="4"/>
        <v>Căn 35 lô AM-16</v>
      </c>
      <c r="AD60" s="120">
        <f t="shared" si="2"/>
        <v>166</v>
      </c>
      <c r="AE60" s="121"/>
      <c r="AF60" s="113" t="s">
        <v>168</v>
      </c>
      <c r="AG60" s="111" t="s">
        <v>65</v>
      </c>
      <c r="AH60" s="111" t="s">
        <v>885</v>
      </c>
      <c r="AI60" s="104">
        <v>59</v>
      </c>
      <c r="AJ60" s="136"/>
    </row>
    <row r="61" spans="1:36" ht="18.75" x14ac:dyDescent="0.25">
      <c r="A61" s="105" t="s">
        <v>1177</v>
      </c>
      <c r="B61" s="112" t="s">
        <v>225</v>
      </c>
      <c r="C61" s="112" t="s">
        <v>225</v>
      </c>
      <c r="D61" s="105" t="s">
        <v>1357</v>
      </c>
      <c r="E61" s="105" t="s">
        <v>65</v>
      </c>
      <c r="F61" s="105" t="s">
        <v>1358</v>
      </c>
      <c r="G61" s="105" t="s">
        <v>1358</v>
      </c>
      <c r="H61" s="105" t="s">
        <v>250</v>
      </c>
      <c r="I61" s="105" t="s">
        <v>1180</v>
      </c>
      <c r="J61" s="106">
        <v>45511</v>
      </c>
      <c r="K61" s="105"/>
      <c r="L61" s="105" t="s">
        <v>1181</v>
      </c>
      <c r="M61" s="105" t="s">
        <v>1182</v>
      </c>
      <c r="N61" s="106">
        <v>27861</v>
      </c>
      <c r="O61" s="119" t="s">
        <v>1150</v>
      </c>
      <c r="P61" s="105" t="s">
        <v>1183</v>
      </c>
      <c r="Q61" s="105" t="s">
        <v>1184</v>
      </c>
      <c r="R61" s="106">
        <v>44375</v>
      </c>
      <c r="S61" s="105" t="s">
        <v>1185</v>
      </c>
      <c r="T61" s="105" t="s">
        <v>1186</v>
      </c>
      <c r="U61" s="107" t="s">
        <v>1187</v>
      </c>
      <c r="V61" s="108">
        <v>45668</v>
      </c>
      <c r="W61">
        <v>3800405138</v>
      </c>
      <c r="X61" s="105" t="s">
        <v>1188</v>
      </c>
      <c r="Y61" s="109">
        <v>45861</v>
      </c>
      <c r="AB61" s="116" t="str">
        <f t="shared" si="3"/>
        <v>CÔNG TY CỔ PHẦN PHÁT TRIỂN HẠ TẦNG KỸ THUẬT BECAMEX - BÌNH PHƯỚC</v>
      </c>
      <c r="AC61" s="116" t="str">
        <f t="shared" si="4"/>
        <v>Căn 17 lô TĐC-44</v>
      </c>
      <c r="AD61" s="120">
        <f t="shared" si="2"/>
        <v>108</v>
      </c>
      <c r="AE61" s="121"/>
      <c r="AF61" s="113" t="s">
        <v>169</v>
      </c>
      <c r="AG61" s="111" t="s">
        <v>65</v>
      </c>
      <c r="AH61" s="111" t="s">
        <v>886</v>
      </c>
      <c r="AI61" s="104">
        <v>60</v>
      </c>
      <c r="AJ61" s="136"/>
    </row>
    <row r="62" spans="1:36" ht="18.75" x14ac:dyDescent="0.25">
      <c r="A62" s="105" t="s">
        <v>1177</v>
      </c>
      <c r="B62" s="112" t="s">
        <v>351</v>
      </c>
      <c r="C62" s="112" t="s">
        <v>351</v>
      </c>
      <c r="D62" s="105" t="s">
        <v>1359</v>
      </c>
      <c r="E62" s="105" t="s">
        <v>65</v>
      </c>
      <c r="F62" s="105" t="s">
        <v>1360</v>
      </c>
      <c r="G62" s="105" t="s">
        <v>1360</v>
      </c>
      <c r="H62" s="105" t="s">
        <v>1361</v>
      </c>
      <c r="I62" s="105" t="s">
        <v>1192</v>
      </c>
      <c r="J62" s="106">
        <v>45551</v>
      </c>
      <c r="K62" s="105"/>
      <c r="L62" s="105" t="s">
        <v>1181</v>
      </c>
      <c r="M62" s="105" t="s">
        <v>1182</v>
      </c>
      <c r="N62" s="106">
        <v>27861</v>
      </c>
      <c r="O62" s="119" t="s">
        <v>1150</v>
      </c>
      <c r="P62" s="105" t="s">
        <v>1183</v>
      </c>
      <c r="Q62" s="105" t="s">
        <v>1184</v>
      </c>
      <c r="R62" s="106">
        <v>44375</v>
      </c>
      <c r="S62" s="105" t="s">
        <v>1185</v>
      </c>
      <c r="T62" s="105" t="s">
        <v>1186</v>
      </c>
      <c r="U62" s="107" t="s">
        <v>1187</v>
      </c>
      <c r="V62" s="108">
        <v>45668</v>
      </c>
      <c r="W62">
        <v>3800405138</v>
      </c>
      <c r="X62" s="105" t="s">
        <v>1188</v>
      </c>
      <c r="Y62" s="109">
        <v>45861</v>
      </c>
      <c r="AB62" s="116" t="str">
        <f t="shared" si="3"/>
        <v>CÔNG TY CỔ PHẦN PHÁT TRIỂN HẠ TẦNG KỸ THUẬT BECAMEX - BÌNH PHƯỚC</v>
      </c>
      <c r="AC62" s="116" t="str">
        <f t="shared" si="4"/>
        <v>Căn 11 lô AM-16</v>
      </c>
      <c r="AD62" s="120">
        <f t="shared" si="2"/>
        <v>142</v>
      </c>
      <c r="AE62" s="121"/>
      <c r="AF62" s="113" t="s">
        <v>170</v>
      </c>
      <c r="AG62" s="111" t="s">
        <v>65</v>
      </c>
      <c r="AH62" s="111" t="s">
        <v>887</v>
      </c>
      <c r="AI62" s="104">
        <v>61</v>
      </c>
      <c r="AJ62" s="136"/>
    </row>
    <row r="63" spans="1:36" ht="18.75" x14ac:dyDescent="0.25">
      <c r="A63" s="105" t="s">
        <v>1177</v>
      </c>
      <c r="B63" s="112" t="s">
        <v>220</v>
      </c>
      <c r="C63" s="112" t="s">
        <v>220</v>
      </c>
      <c r="D63" s="105" t="s">
        <v>1362</v>
      </c>
      <c r="E63" s="105" t="s">
        <v>65</v>
      </c>
      <c r="F63" s="105" t="s">
        <v>1363</v>
      </c>
      <c r="G63" s="105" t="s">
        <v>1363</v>
      </c>
      <c r="H63" s="105" t="s">
        <v>245</v>
      </c>
      <c r="I63" s="105" t="s">
        <v>1180</v>
      </c>
      <c r="J63" s="106">
        <v>45511</v>
      </c>
      <c r="K63" s="105"/>
      <c r="L63" s="105" t="s">
        <v>1181</v>
      </c>
      <c r="M63" s="105" t="s">
        <v>1182</v>
      </c>
      <c r="N63" s="106">
        <v>27861</v>
      </c>
      <c r="O63" s="119" t="s">
        <v>1150</v>
      </c>
      <c r="P63" s="105" t="s">
        <v>1183</v>
      </c>
      <c r="Q63" s="105" t="s">
        <v>1184</v>
      </c>
      <c r="R63" s="106">
        <v>44375</v>
      </c>
      <c r="S63" s="105" t="s">
        <v>1185</v>
      </c>
      <c r="T63" s="105" t="s">
        <v>1186</v>
      </c>
      <c r="U63" s="107" t="s">
        <v>1187</v>
      </c>
      <c r="V63" s="108">
        <v>45668</v>
      </c>
      <c r="W63">
        <v>3800405138</v>
      </c>
      <c r="X63" s="105" t="s">
        <v>1188</v>
      </c>
      <c r="Y63" s="109">
        <v>45861</v>
      </c>
      <c r="AB63" s="116" t="str">
        <f t="shared" si="3"/>
        <v>CÔNG TY CỔ PHẦN PHÁT TRIỂN HẠ TẦNG KỸ THUẬT BECAMEX - BÌNH PHƯỚC</v>
      </c>
      <c r="AC63" s="116" t="str">
        <f t="shared" si="4"/>
        <v>Căn 12 lô TĐC-44</v>
      </c>
      <c r="AD63" s="120">
        <f t="shared" si="2"/>
        <v>103</v>
      </c>
      <c r="AE63" s="121"/>
      <c r="AF63" s="113" t="s">
        <v>171</v>
      </c>
      <c r="AG63" s="111" t="s">
        <v>65</v>
      </c>
      <c r="AH63" s="111" t="s">
        <v>888</v>
      </c>
      <c r="AI63" s="104">
        <v>62</v>
      </c>
      <c r="AJ63" s="136"/>
    </row>
    <row r="64" spans="1:36" ht="18.75" x14ac:dyDescent="0.25">
      <c r="A64" s="105" t="s">
        <v>1177</v>
      </c>
      <c r="B64" s="112" t="s">
        <v>26</v>
      </c>
      <c r="C64" s="112" t="s">
        <v>26</v>
      </c>
      <c r="D64" s="105" t="s">
        <v>1364</v>
      </c>
      <c r="E64" s="105" t="s">
        <v>1365</v>
      </c>
      <c r="F64" s="105" t="s">
        <v>1203</v>
      </c>
      <c r="G64" s="105" t="s">
        <v>1203</v>
      </c>
      <c r="H64" s="105" t="s">
        <v>1366</v>
      </c>
      <c r="I64" s="105" t="s">
        <v>1367</v>
      </c>
      <c r="J64" s="106">
        <v>44356</v>
      </c>
      <c r="K64" s="105"/>
      <c r="L64" s="105" t="s">
        <v>1181</v>
      </c>
      <c r="M64" s="105" t="s">
        <v>1182</v>
      </c>
      <c r="N64" s="106">
        <v>27861</v>
      </c>
      <c r="O64" s="119" t="s">
        <v>1150</v>
      </c>
      <c r="P64" s="105" t="s">
        <v>1183</v>
      </c>
      <c r="Q64" s="105" t="s">
        <v>1184</v>
      </c>
      <c r="R64" s="106">
        <v>44375</v>
      </c>
      <c r="S64" s="105" t="s">
        <v>1185</v>
      </c>
      <c r="T64" s="105" t="s">
        <v>1186</v>
      </c>
      <c r="U64" s="107" t="s">
        <v>1187</v>
      </c>
      <c r="V64" s="108">
        <v>45668</v>
      </c>
      <c r="W64">
        <v>3800405138</v>
      </c>
      <c r="X64" s="105" t="s">
        <v>1188</v>
      </c>
      <c r="Y64" s="109">
        <v>45861</v>
      </c>
      <c r="AB64" s="116" t="str">
        <f t="shared" si="3"/>
        <v>CÔNG TY CỔ PHẦN PHÁT TRIỂN HẠ TẦNG KỸ THUẬT BECAMEX - BÌNH PHƯỚC</v>
      </c>
      <c r="AC64" s="116" t="str">
        <f t="shared" si="4"/>
        <v>Chốt BV N11</v>
      </c>
      <c r="AD64" s="120">
        <f t="shared" si="2"/>
        <v>13</v>
      </c>
      <c r="AE64" s="121"/>
      <c r="AF64" s="113" t="s">
        <v>172</v>
      </c>
      <c r="AG64" s="111" t="s">
        <v>65</v>
      </c>
      <c r="AH64" s="111" t="s">
        <v>889</v>
      </c>
      <c r="AI64" s="104">
        <v>63</v>
      </c>
      <c r="AJ64" s="137"/>
    </row>
    <row r="65" spans="1:36" ht="18.75" x14ac:dyDescent="0.25">
      <c r="A65" s="105" t="s">
        <v>1177</v>
      </c>
      <c r="B65" s="112" t="s">
        <v>610</v>
      </c>
      <c r="C65" s="112" t="s">
        <v>610</v>
      </c>
      <c r="D65" s="105" t="s">
        <v>1368</v>
      </c>
      <c r="E65" s="105" t="s">
        <v>65</v>
      </c>
      <c r="F65" s="105" t="s">
        <v>1369</v>
      </c>
      <c r="G65" s="105" t="s">
        <v>1369</v>
      </c>
      <c r="H65" s="105" t="s">
        <v>1370</v>
      </c>
      <c r="I65" s="105" t="s">
        <v>1192</v>
      </c>
      <c r="J65" s="106">
        <v>45549</v>
      </c>
      <c r="K65" s="105"/>
      <c r="L65" s="105" t="s">
        <v>1181</v>
      </c>
      <c r="M65" s="105" t="s">
        <v>1182</v>
      </c>
      <c r="N65" s="106">
        <v>27861</v>
      </c>
      <c r="O65" s="119" t="s">
        <v>1150</v>
      </c>
      <c r="P65" s="105" t="s">
        <v>1183</v>
      </c>
      <c r="Q65" s="105" t="s">
        <v>1184</v>
      </c>
      <c r="R65" s="106">
        <v>44375</v>
      </c>
      <c r="S65" s="105" t="s">
        <v>1185</v>
      </c>
      <c r="T65" s="105" t="s">
        <v>1186</v>
      </c>
      <c r="U65" s="107" t="s">
        <v>1187</v>
      </c>
      <c r="V65" s="108">
        <v>45668</v>
      </c>
      <c r="W65">
        <v>3800405138</v>
      </c>
      <c r="X65" s="105" t="s">
        <v>1188</v>
      </c>
      <c r="Y65" s="109">
        <v>45861</v>
      </c>
      <c r="AB65" s="116" t="str">
        <f t="shared" si="3"/>
        <v>CÔNG TY CỔ PHẦN PHÁT TRIỂN HẠ TẦNG KỸ THUẬT BECAMEX - BÌNH PHƯỚC</v>
      </c>
      <c r="AC65" s="116" t="str">
        <f t="shared" si="4"/>
        <v>Căn 25 lô AM-16</v>
      </c>
      <c r="AD65" s="120">
        <f t="shared" si="2"/>
        <v>156</v>
      </c>
      <c r="AE65" s="121"/>
      <c r="AF65" s="113" t="s">
        <v>173</v>
      </c>
      <c r="AG65" s="111" t="s">
        <v>65</v>
      </c>
      <c r="AH65" s="111" t="s">
        <v>890</v>
      </c>
      <c r="AI65" s="104">
        <v>64</v>
      </c>
      <c r="AJ65" s="137"/>
    </row>
    <row r="66" spans="1:36" ht="18.75" x14ac:dyDescent="0.25">
      <c r="A66" s="105" t="s">
        <v>1177</v>
      </c>
      <c r="B66" s="142" t="s">
        <v>1371</v>
      </c>
      <c r="C66" s="112" t="s">
        <v>1371</v>
      </c>
      <c r="D66" s="105" t="s">
        <v>1372</v>
      </c>
      <c r="E66" s="105" t="s">
        <v>1208</v>
      </c>
      <c r="F66" s="119" t="s">
        <v>1721</v>
      </c>
      <c r="G66" s="105" t="s">
        <v>1203</v>
      </c>
      <c r="H66" s="105" t="s">
        <v>1373</v>
      </c>
      <c r="I66" s="143" t="s">
        <v>1210</v>
      </c>
      <c r="J66" s="106">
        <v>45652</v>
      </c>
      <c r="K66" s="105"/>
      <c r="L66" s="105" t="s">
        <v>1181</v>
      </c>
      <c r="M66" s="105" t="s">
        <v>1182</v>
      </c>
      <c r="N66" s="106">
        <v>27861</v>
      </c>
      <c r="O66" s="119" t="s">
        <v>1150</v>
      </c>
      <c r="P66" s="105" t="s">
        <v>1183</v>
      </c>
      <c r="Q66" s="105" t="s">
        <v>1184</v>
      </c>
      <c r="R66" s="106">
        <v>44375</v>
      </c>
      <c r="S66" s="105" t="s">
        <v>1185</v>
      </c>
      <c r="T66" s="105" t="s">
        <v>1186</v>
      </c>
      <c r="U66" s="107" t="s">
        <v>1187</v>
      </c>
      <c r="V66" s="108">
        <v>45668</v>
      </c>
      <c r="W66">
        <v>3800405138</v>
      </c>
      <c r="X66" s="105" t="s">
        <v>1188</v>
      </c>
      <c r="Y66" s="109">
        <v>45861</v>
      </c>
      <c r="AB66" s="126" t="e">
        <f t="shared" ref="AB66:AB97" si="5">VLOOKUP(B66,$AF$2:$AJ$303,2,0)</f>
        <v>#N/A</v>
      </c>
      <c r="AC66" s="126" t="e">
        <f t="shared" ref="AC66:AC97" si="6">VLOOKUP(C66,$AF$2:$AJ$303,3,0)</f>
        <v>#N/A</v>
      </c>
      <c r="AD66" s="144" t="e">
        <f t="shared" si="2"/>
        <v>#N/A</v>
      </c>
      <c r="AE66" s="121"/>
      <c r="AF66" s="122" t="s">
        <v>91</v>
      </c>
      <c r="AG66" s="123" t="s">
        <v>121</v>
      </c>
      <c r="AH66" s="123" t="s">
        <v>891</v>
      </c>
      <c r="AI66" s="124">
        <v>65</v>
      </c>
      <c r="AJ66" s="134"/>
    </row>
    <row r="67" spans="1:36" ht="18.75" x14ac:dyDescent="0.25">
      <c r="A67" s="105" t="s">
        <v>1177</v>
      </c>
      <c r="B67" s="112" t="s">
        <v>181</v>
      </c>
      <c r="C67" s="112" t="s">
        <v>181</v>
      </c>
      <c r="D67" s="105" t="s">
        <v>1374</v>
      </c>
      <c r="E67" s="105" t="s">
        <v>65</v>
      </c>
      <c r="F67" s="105" t="s">
        <v>1375</v>
      </c>
      <c r="G67" s="105" t="s">
        <v>1375</v>
      </c>
      <c r="H67" s="105" t="s">
        <v>188</v>
      </c>
      <c r="I67" s="105" t="s">
        <v>1192</v>
      </c>
      <c r="J67" s="106">
        <v>45457</v>
      </c>
      <c r="K67" s="105"/>
      <c r="L67" s="105" t="s">
        <v>1181</v>
      </c>
      <c r="M67" s="105" t="s">
        <v>1182</v>
      </c>
      <c r="N67" s="106">
        <v>27861</v>
      </c>
      <c r="O67" s="119" t="s">
        <v>1150</v>
      </c>
      <c r="P67" s="105" t="s">
        <v>1183</v>
      </c>
      <c r="Q67" s="105" t="s">
        <v>1184</v>
      </c>
      <c r="R67" s="106">
        <v>44375</v>
      </c>
      <c r="S67" s="105" t="s">
        <v>1185</v>
      </c>
      <c r="T67" s="105" t="s">
        <v>1186</v>
      </c>
      <c r="U67" s="107" t="s">
        <v>1187</v>
      </c>
      <c r="V67" s="108">
        <v>45668</v>
      </c>
      <c r="W67">
        <v>3800405138</v>
      </c>
      <c r="X67" s="105" t="s">
        <v>1188</v>
      </c>
      <c r="Y67" s="109">
        <v>45861</v>
      </c>
      <c r="AB67" s="116" t="str">
        <f t="shared" si="5"/>
        <v>CÔNG TY CỔ PHẦN PHÁT TRIỂN HẠ TẦNG KỸ THUẬT BECAMEX - BÌNH PHƯỚC</v>
      </c>
      <c r="AC67" s="116" t="str">
        <f t="shared" si="6"/>
        <v>Căn 77 lô AM-16</v>
      </c>
      <c r="AD67" s="120">
        <f t="shared" ref="AD67:AD130" si="7">VLOOKUP(C67,$AF$2:$AJ$303,4,0)</f>
        <v>208</v>
      </c>
      <c r="AE67" s="121"/>
      <c r="AF67" s="113" t="s">
        <v>90</v>
      </c>
      <c r="AG67" s="111" t="s">
        <v>120</v>
      </c>
      <c r="AH67" s="111" t="s">
        <v>892</v>
      </c>
      <c r="AI67" s="104">
        <v>66</v>
      </c>
      <c r="AJ67" s="136"/>
    </row>
    <row r="68" spans="1:36" ht="18.75" x14ac:dyDescent="0.25">
      <c r="A68" s="105" t="s">
        <v>1177</v>
      </c>
      <c r="B68" s="112" t="s">
        <v>340</v>
      </c>
      <c r="C68" s="112" t="s">
        <v>340</v>
      </c>
      <c r="D68" s="105" t="s">
        <v>1376</v>
      </c>
      <c r="E68" s="105" t="s">
        <v>65</v>
      </c>
      <c r="F68" s="105" t="s">
        <v>1377</v>
      </c>
      <c r="G68" s="105" t="s">
        <v>1377</v>
      </c>
      <c r="H68" s="105" t="s">
        <v>1378</v>
      </c>
      <c r="I68" s="105" t="s">
        <v>1192</v>
      </c>
      <c r="J68" s="106">
        <v>45551</v>
      </c>
      <c r="K68" s="105"/>
      <c r="L68" s="105" t="s">
        <v>1181</v>
      </c>
      <c r="M68" s="105" t="s">
        <v>1182</v>
      </c>
      <c r="N68" s="106">
        <v>27861</v>
      </c>
      <c r="O68" s="119" t="s">
        <v>1150</v>
      </c>
      <c r="P68" s="105" t="s">
        <v>1183</v>
      </c>
      <c r="Q68" s="105" t="s">
        <v>1184</v>
      </c>
      <c r="R68" s="106">
        <v>44375</v>
      </c>
      <c r="S68" s="105" t="s">
        <v>1185</v>
      </c>
      <c r="T68" s="105" t="s">
        <v>1186</v>
      </c>
      <c r="U68" s="107" t="s">
        <v>1187</v>
      </c>
      <c r="V68" s="108">
        <v>45668</v>
      </c>
      <c r="W68">
        <v>3800405138</v>
      </c>
      <c r="X68" s="105" t="s">
        <v>1188</v>
      </c>
      <c r="Y68" s="109">
        <v>45861</v>
      </c>
      <c r="AB68" s="116" t="str">
        <f t="shared" si="5"/>
        <v>CÔNG TY CỔ PHẦN PHÁT TRIỂN HẠ TẦNG KỸ THUẬT BECAMEX - BÌNH PHƯỚC</v>
      </c>
      <c r="AC68" s="116" t="str">
        <f t="shared" si="6"/>
        <v>Căn 42 lô AM-16</v>
      </c>
      <c r="AD68" s="120">
        <f t="shared" si="7"/>
        <v>173</v>
      </c>
      <c r="AE68" s="121"/>
      <c r="AF68" s="113" t="s">
        <v>92</v>
      </c>
      <c r="AG68" s="111" t="s">
        <v>122</v>
      </c>
      <c r="AH68" s="111" t="s">
        <v>893</v>
      </c>
      <c r="AI68" s="104">
        <v>67</v>
      </c>
      <c r="AJ68" s="136"/>
    </row>
    <row r="69" spans="1:36" ht="18.75" x14ac:dyDescent="0.25">
      <c r="A69" s="105" t="s">
        <v>1177</v>
      </c>
      <c r="B69" s="112" t="s">
        <v>164</v>
      </c>
      <c r="C69" s="112" t="s">
        <v>164</v>
      </c>
      <c r="D69" s="105" t="s">
        <v>1379</v>
      </c>
      <c r="E69" s="105" t="s">
        <v>1380</v>
      </c>
      <c r="F69" s="105" t="s">
        <v>1381</v>
      </c>
      <c r="G69" s="105" t="s">
        <v>1381</v>
      </c>
      <c r="H69" s="105" t="s">
        <v>1382</v>
      </c>
      <c r="I69" s="105" t="s">
        <v>1205</v>
      </c>
      <c r="J69" s="106">
        <v>44519</v>
      </c>
      <c r="K69" s="105"/>
      <c r="L69" s="105" t="s">
        <v>1181</v>
      </c>
      <c r="M69" s="105" t="s">
        <v>1182</v>
      </c>
      <c r="N69" s="106">
        <v>27861</v>
      </c>
      <c r="O69" s="119" t="s">
        <v>1150</v>
      </c>
      <c r="P69" s="105" t="s">
        <v>1183</v>
      </c>
      <c r="Q69" s="105" t="s">
        <v>1184</v>
      </c>
      <c r="R69" s="106">
        <v>44375</v>
      </c>
      <c r="S69" s="105" t="s">
        <v>1185</v>
      </c>
      <c r="T69" s="105" t="s">
        <v>1186</v>
      </c>
      <c r="U69" s="107" t="s">
        <v>1187</v>
      </c>
      <c r="V69" s="108">
        <v>45668</v>
      </c>
      <c r="W69">
        <v>3800405138</v>
      </c>
      <c r="X69" s="105" t="s">
        <v>1188</v>
      </c>
      <c r="Y69" s="109">
        <v>45861</v>
      </c>
      <c r="AB69" s="116" t="str">
        <f t="shared" si="5"/>
        <v>CÔNG TY CỔ PHẦN PHÁT TRIỂN HẠ TẦNG KỸ THUẬT BECAMEX - BÌNH PHƯỚC</v>
      </c>
      <c r="AC69" s="116" t="str">
        <f t="shared" si="6"/>
        <v>Căn 16 lô TĐC-31</v>
      </c>
      <c r="AD69" s="120">
        <f t="shared" si="7"/>
        <v>55</v>
      </c>
      <c r="AE69" s="121"/>
      <c r="AF69" s="113" t="s">
        <v>93</v>
      </c>
      <c r="AG69" s="111" t="s">
        <v>123</v>
      </c>
      <c r="AH69" s="111" t="s">
        <v>894</v>
      </c>
      <c r="AI69" s="104">
        <v>68</v>
      </c>
      <c r="AJ69" s="136"/>
    </row>
    <row r="70" spans="1:36" ht="18.75" x14ac:dyDescent="0.25">
      <c r="A70" s="105" t="s">
        <v>1177</v>
      </c>
      <c r="B70" s="112" t="s">
        <v>116</v>
      </c>
      <c r="C70" s="112" t="s">
        <v>116</v>
      </c>
      <c r="D70" s="105" t="s">
        <v>1383</v>
      </c>
      <c r="E70" s="105" t="s">
        <v>146</v>
      </c>
      <c r="F70" s="105" t="s">
        <v>1203</v>
      </c>
      <c r="G70" s="105" t="s">
        <v>1203</v>
      </c>
      <c r="H70" s="105" t="s">
        <v>1384</v>
      </c>
      <c r="I70" s="105" t="s">
        <v>1205</v>
      </c>
      <c r="J70" s="106">
        <v>45092</v>
      </c>
      <c r="K70" s="105"/>
      <c r="L70" s="105" t="s">
        <v>1181</v>
      </c>
      <c r="M70" s="105" t="s">
        <v>1182</v>
      </c>
      <c r="N70" s="106">
        <v>27861</v>
      </c>
      <c r="O70" s="119" t="s">
        <v>1150</v>
      </c>
      <c r="P70" s="105" t="s">
        <v>1183</v>
      </c>
      <c r="Q70" s="105" t="s">
        <v>1184</v>
      </c>
      <c r="R70" s="106">
        <v>44375</v>
      </c>
      <c r="S70" s="105" t="s">
        <v>1185</v>
      </c>
      <c r="T70" s="105" t="s">
        <v>1186</v>
      </c>
      <c r="U70" s="107" t="s">
        <v>1187</v>
      </c>
      <c r="V70" s="108">
        <v>45668</v>
      </c>
      <c r="W70">
        <v>3800405138</v>
      </c>
      <c r="X70" s="105" t="s">
        <v>1188</v>
      </c>
      <c r="Y70" s="109">
        <v>45861</v>
      </c>
      <c r="AB70" s="116" t="str">
        <f t="shared" si="5"/>
        <v>CÔNG TY CỔ PHẦN PHÁT TRIỂN HẠ TẦNG KỸ THUẬT BECAMEX-BÌNH PHƯỚC(58 Lô TDC-31)</v>
      </c>
      <c r="AC70" s="116" t="str">
        <f t="shared" si="6"/>
        <v>Căn 58 lô TĐC-31</v>
      </c>
      <c r="AD70" s="120">
        <f t="shared" si="7"/>
        <v>130</v>
      </c>
      <c r="AE70" s="121"/>
      <c r="AF70" s="113" t="s">
        <v>94</v>
      </c>
      <c r="AG70" s="111" t="s">
        <v>124</v>
      </c>
      <c r="AH70" s="111" t="s">
        <v>895</v>
      </c>
      <c r="AI70" s="104">
        <v>69</v>
      </c>
      <c r="AJ70" s="136"/>
    </row>
    <row r="71" spans="1:36" ht="18.75" x14ac:dyDescent="0.25">
      <c r="A71" s="105" t="s">
        <v>1177</v>
      </c>
      <c r="B71" s="112" t="s">
        <v>289</v>
      </c>
      <c r="C71" s="112" t="s">
        <v>289</v>
      </c>
      <c r="D71" s="105" t="s">
        <v>1385</v>
      </c>
      <c r="E71" s="105" t="s">
        <v>65</v>
      </c>
      <c r="F71" s="105" t="s">
        <v>1386</v>
      </c>
      <c r="G71" s="105" t="s">
        <v>1386</v>
      </c>
      <c r="H71" s="105" t="s">
        <v>1387</v>
      </c>
      <c r="I71" s="105" t="s">
        <v>1192</v>
      </c>
      <c r="J71" s="106">
        <v>45549</v>
      </c>
      <c r="K71" s="105"/>
      <c r="L71" s="105" t="s">
        <v>1181</v>
      </c>
      <c r="M71" s="105" t="s">
        <v>1182</v>
      </c>
      <c r="N71" s="106">
        <v>27861</v>
      </c>
      <c r="O71" s="119" t="s">
        <v>1150</v>
      </c>
      <c r="P71" s="105" t="s">
        <v>1183</v>
      </c>
      <c r="Q71" s="105" t="s">
        <v>1184</v>
      </c>
      <c r="R71" s="106">
        <v>44375</v>
      </c>
      <c r="S71" s="105" t="s">
        <v>1185</v>
      </c>
      <c r="T71" s="105" t="s">
        <v>1186</v>
      </c>
      <c r="U71" s="107" t="s">
        <v>1187</v>
      </c>
      <c r="V71" s="108">
        <v>45668</v>
      </c>
      <c r="W71">
        <v>3800405138</v>
      </c>
      <c r="X71" s="105" t="s">
        <v>1188</v>
      </c>
      <c r="Y71" s="109">
        <v>45861</v>
      </c>
      <c r="AB71" s="116" t="str">
        <f t="shared" si="5"/>
        <v>CÔNG TY CỔ PHẦN PHÁT TRIỂN HẠ TẦNG KỸ THUẬT BECAMEX - BÌNH PHƯỚC</v>
      </c>
      <c r="AC71" s="116" t="str">
        <f t="shared" si="6"/>
        <v>Căn 24 lô AM-16</v>
      </c>
      <c r="AD71" s="120">
        <f t="shared" si="7"/>
        <v>155</v>
      </c>
      <c r="AE71" s="121"/>
      <c r="AF71" s="113" t="s">
        <v>95</v>
      </c>
      <c r="AG71" s="111" t="s">
        <v>125</v>
      </c>
      <c r="AH71" s="111" t="s">
        <v>896</v>
      </c>
      <c r="AI71" s="104">
        <v>70</v>
      </c>
      <c r="AJ71" s="136"/>
    </row>
    <row r="72" spans="1:36" ht="18.75" x14ac:dyDescent="0.25">
      <c r="A72" s="105" t="s">
        <v>1177</v>
      </c>
      <c r="B72" s="112" t="s">
        <v>322</v>
      </c>
      <c r="C72" s="112" t="s">
        <v>322</v>
      </c>
      <c r="D72" s="105" t="s">
        <v>1388</v>
      </c>
      <c r="E72" s="105" t="s">
        <v>65</v>
      </c>
      <c r="F72" s="105" t="s">
        <v>1389</v>
      </c>
      <c r="G72" s="105" t="s">
        <v>1389</v>
      </c>
      <c r="H72" s="105" t="s">
        <v>1390</v>
      </c>
      <c r="I72" s="105" t="s">
        <v>1192</v>
      </c>
      <c r="J72" s="106">
        <v>45551</v>
      </c>
      <c r="K72" s="105"/>
      <c r="L72" s="105" t="s">
        <v>1181</v>
      </c>
      <c r="M72" s="105" t="s">
        <v>1182</v>
      </c>
      <c r="N72" s="106">
        <v>27861</v>
      </c>
      <c r="O72" s="119" t="s">
        <v>1150</v>
      </c>
      <c r="P72" s="105" t="s">
        <v>1183</v>
      </c>
      <c r="Q72" s="105" t="s">
        <v>1184</v>
      </c>
      <c r="R72" s="106">
        <v>44375</v>
      </c>
      <c r="S72" s="105" t="s">
        <v>1185</v>
      </c>
      <c r="T72" s="105" t="s">
        <v>1186</v>
      </c>
      <c r="U72" s="107" t="s">
        <v>1187</v>
      </c>
      <c r="V72" s="108">
        <v>45668</v>
      </c>
      <c r="W72">
        <v>3800405138</v>
      </c>
      <c r="X72" s="105" t="s">
        <v>1188</v>
      </c>
      <c r="Y72" s="109">
        <v>45861</v>
      </c>
      <c r="AB72" s="116" t="str">
        <f t="shared" si="5"/>
        <v>CÔNG TY CỔ PHẦN PHÁT TRIỂN HẠ TẦNG KỸ THUẬT BECAMEX - BÌNH PHƯỚC</v>
      </c>
      <c r="AC72" s="116" t="str">
        <f t="shared" si="6"/>
        <v>Căn 61 lô AM-16</v>
      </c>
      <c r="AD72" s="120">
        <f t="shared" si="7"/>
        <v>192</v>
      </c>
      <c r="AE72" s="121"/>
      <c r="AF72" s="113" t="s">
        <v>96</v>
      </c>
      <c r="AG72" s="111" t="s">
        <v>126</v>
      </c>
      <c r="AH72" s="111" t="s">
        <v>897</v>
      </c>
      <c r="AI72" s="104">
        <v>71</v>
      </c>
      <c r="AJ72" s="136"/>
    </row>
    <row r="73" spans="1:36" ht="18.75" x14ac:dyDescent="0.25">
      <c r="A73" s="105" t="s">
        <v>1177</v>
      </c>
      <c r="B73" s="112" t="s">
        <v>223</v>
      </c>
      <c r="C73" s="112" t="s">
        <v>223</v>
      </c>
      <c r="D73" s="105" t="s">
        <v>1391</v>
      </c>
      <c r="E73" s="105" t="s">
        <v>65</v>
      </c>
      <c r="F73" s="105" t="s">
        <v>1392</v>
      </c>
      <c r="G73" s="105" t="s">
        <v>1392</v>
      </c>
      <c r="H73" s="105" t="s">
        <v>248</v>
      </c>
      <c r="I73" s="105" t="s">
        <v>1180</v>
      </c>
      <c r="J73" s="106">
        <v>45511</v>
      </c>
      <c r="K73" s="105"/>
      <c r="L73" s="105" t="s">
        <v>1181</v>
      </c>
      <c r="M73" s="105" t="s">
        <v>1182</v>
      </c>
      <c r="N73" s="106">
        <v>27861</v>
      </c>
      <c r="O73" s="119" t="s">
        <v>1150</v>
      </c>
      <c r="P73" s="105" t="s">
        <v>1183</v>
      </c>
      <c r="Q73" s="105" t="s">
        <v>1184</v>
      </c>
      <c r="R73" s="106">
        <v>44375</v>
      </c>
      <c r="S73" s="105" t="s">
        <v>1185</v>
      </c>
      <c r="T73" s="105" t="s">
        <v>1186</v>
      </c>
      <c r="U73" s="107" t="s">
        <v>1187</v>
      </c>
      <c r="V73" s="108">
        <v>45668</v>
      </c>
      <c r="W73">
        <v>3800405138</v>
      </c>
      <c r="X73" s="105" t="s">
        <v>1188</v>
      </c>
      <c r="Y73" s="109">
        <v>45861</v>
      </c>
      <c r="AB73" s="116" t="str">
        <f t="shared" si="5"/>
        <v>CÔNG TY CỔ PHẦN PHÁT TRIỂN HẠ TẦNG KỸ THUẬT BECAMEX - BÌNH PHƯỚC</v>
      </c>
      <c r="AC73" s="116" t="str">
        <f t="shared" si="6"/>
        <v>Căn 15 lô TĐC-44</v>
      </c>
      <c r="AD73" s="120">
        <f t="shared" si="7"/>
        <v>106</v>
      </c>
      <c r="AE73" s="121"/>
      <c r="AF73" s="113" t="s">
        <v>97</v>
      </c>
      <c r="AG73" s="111" t="s">
        <v>127</v>
      </c>
      <c r="AH73" s="111" t="s">
        <v>898</v>
      </c>
      <c r="AI73" s="104">
        <v>72</v>
      </c>
      <c r="AJ73" s="136"/>
    </row>
    <row r="74" spans="1:36" ht="18.75" x14ac:dyDescent="0.25">
      <c r="A74" s="105" t="s">
        <v>1177</v>
      </c>
      <c r="B74" s="112" t="s">
        <v>298</v>
      </c>
      <c r="C74" s="112" t="s">
        <v>298</v>
      </c>
      <c r="D74" s="105" t="s">
        <v>1393</v>
      </c>
      <c r="E74" s="105" t="s">
        <v>65</v>
      </c>
      <c r="F74" s="105" t="s">
        <v>1394</v>
      </c>
      <c r="G74" s="105" t="s">
        <v>1394</v>
      </c>
      <c r="H74" s="105" t="s">
        <v>1395</v>
      </c>
      <c r="I74" s="105" t="s">
        <v>1192</v>
      </c>
      <c r="J74" s="106">
        <v>45549</v>
      </c>
      <c r="K74" s="105"/>
      <c r="L74" s="105" t="s">
        <v>1181</v>
      </c>
      <c r="M74" s="105" t="s">
        <v>1182</v>
      </c>
      <c r="N74" s="106">
        <v>27861</v>
      </c>
      <c r="O74" s="119" t="s">
        <v>1150</v>
      </c>
      <c r="P74" s="105" t="s">
        <v>1183</v>
      </c>
      <c r="Q74" s="105" t="s">
        <v>1184</v>
      </c>
      <c r="R74" s="106">
        <v>44375</v>
      </c>
      <c r="S74" s="105" t="s">
        <v>1185</v>
      </c>
      <c r="T74" s="105" t="s">
        <v>1186</v>
      </c>
      <c r="U74" s="107" t="s">
        <v>1187</v>
      </c>
      <c r="V74" s="108">
        <v>45668</v>
      </c>
      <c r="W74">
        <v>3800405138</v>
      </c>
      <c r="X74" s="105" t="s">
        <v>1188</v>
      </c>
      <c r="Y74" s="109">
        <v>45861</v>
      </c>
      <c r="AB74" s="116" t="str">
        <f t="shared" si="5"/>
        <v>CÔNG TY CỔ PHẦN PHÁT TRIỂN HẠ TẦNG KỸ THUẬT BECAMEX - BÌNH PHƯỚC</v>
      </c>
      <c r="AC74" s="116" t="str">
        <f t="shared" si="6"/>
        <v>Căn 33 lô AM-16</v>
      </c>
      <c r="AD74" s="120">
        <f t="shared" si="7"/>
        <v>164</v>
      </c>
      <c r="AE74" s="121"/>
      <c r="AF74" s="113" t="s">
        <v>99</v>
      </c>
      <c r="AG74" s="111" t="s">
        <v>129</v>
      </c>
      <c r="AH74" s="111" t="s">
        <v>899</v>
      </c>
      <c r="AI74" s="104">
        <v>73</v>
      </c>
      <c r="AJ74" s="136"/>
    </row>
    <row r="75" spans="1:36" ht="18.75" x14ac:dyDescent="0.25">
      <c r="A75" s="105" t="s">
        <v>1177</v>
      </c>
      <c r="B75" s="112" t="s">
        <v>358</v>
      </c>
      <c r="C75" s="112" t="s">
        <v>358</v>
      </c>
      <c r="D75" s="105" t="s">
        <v>1396</v>
      </c>
      <c r="E75" s="105" t="s">
        <v>65</v>
      </c>
      <c r="F75" s="105" t="s">
        <v>1397</v>
      </c>
      <c r="G75" s="105" t="s">
        <v>1397</v>
      </c>
      <c r="H75" s="105" t="s">
        <v>1398</v>
      </c>
      <c r="I75" s="105" t="s">
        <v>1192</v>
      </c>
      <c r="J75" s="106">
        <v>45551</v>
      </c>
      <c r="K75" s="105"/>
      <c r="L75" s="105" t="s">
        <v>1181</v>
      </c>
      <c r="M75" s="105" t="s">
        <v>1182</v>
      </c>
      <c r="N75" s="106">
        <v>27861</v>
      </c>
      <c r="O75" s="119" t="s">
        <v>1150</v>
      </c>
      <c r="P75" s="105" t="s">
        <v>1183</v>
      </c>
      <c r="Q75" s="105" t="s">
        <v>1184</v>
      </c>
      <c r="R75" s="106">
        <v>44375</v>
      </c>
      <c r="S75" s="105" t="s">
        <v>1185</v>
      </c>
      <c r="T75" s="105" t="s">
        <v>1186</v>
      </c>
      <c r="U75" s="107" t="s">
        <v>1187</v>
      </c>
      <c r="V75" s="108">
        <v>45668</v>
      </c>
      <c r="W75">
        <v>3800405138</v>
      </c>
      <c r="X75" s="105" t="s">
        <v>1188</v>
      </c>
      <c r="Y75" s="109">
        <v>45861</v>
      </c>
      <c r="AB75" s="116" t="str">
        <f t="shared" si="5"/>
        <v>CÔNG TY CỔ PHẦN PHÁT TRIỂN HẠ TẦNG KỸ THUẬT BECAMEX - BÌNH PHƯỚC</v>
      </c>
      <c r="AC75" s="116" t="str">
        <f t="shared" si="6"/>
        <v>Căn 04 lô AM-16</v>
      </c>
      <c r="AD75" s="120">
        <f t="shared" si="7"/>
        <v>135</v>
      </c>
      <c r="AE75" s="121"/>
      <c r="AF75" s="113" t="s">
        <v>98</v>
      </c>
      <c r="AG75" s="111" t="s">
        <v>128</v>
      </c>
      <c r="AH75" s="111" t="s">
        <v>900</v>
      </c>
      <c r="AI75" s="104">
        <v>74</v>
      </c>
      <c r="AJ75" s="136"/>
    </row>
    <row r="76" spans="1:36" ht="18.75" x14ac:dyDescent="0.25">
      <c r="A76" s="105" t="s">
        <v>1177</v>
      </c>
      <c r="B76" s="112" t="s">
        <v>293</v>
      </c>
      <c r="C76" s="112" t="s">
        <v>293</v>
      </c>
      <c r="D76" s="105" t="s">
        <v>1399</v>
      </c>
      <c r="E76" s="105" t="s">
        <v>65</v>
      </c>
      <c r="F76" s="105" t="s">
        <v>1400</v>
      </c>
      <c r="G76" s="105" t="s">
        <v>1400</v>
      </c>
      <c r="H76" s="105" t="s">
        <v>1401</v>
      </c>
      <c r="I76" s="105" t="s">
        <v>1192</v>
      </c>
      <c r="J76" s="106">
        <v>45549</v>
      </c>
      <c r="K76" s="105"/>
      <c r="L76" s="105" t="s">
        <v>1181</v>
      </c>
      <c r="M76" s="105" t="s">
        <v>1182</v>
      </c>
      <c r="N76" s="106">
        <v>27861</v>
      </c>
      <c r="O76" s="119" t="s">
        <v>1150</v>
      </c>
      <c r="P76" s="105" t="s">
        <v>1183</v>
      </c>
      <c r="Q76" s="105" t="s">
        <v>1184</v>
      </c>
      <c r="R76" s="106">
        <v>44375</v>
      </c>
      <c r="S76" s="105" t="s">
        <v>1185</v>
      </c>
      <c r="T76" s="105" t="s">
        <v>1186</v>
      </c>
      <c r="U76" s="107" t="s">
        <v>1187</v>
      </c>
      <c r="V76" s="108">
        <v>45668</v>
      </c>
      <c r="W76">
        <v>3800405138</v>
      </c>
      <c r="X76" s="105" t="s">
        <v>1188</v>
      </c>
      <c r="Y76" s="109">
        <v>45861</v>
      </c>
      <c r="AB76" s="116" t="str">
        <f t="shared" si="5"/>
        <v>CÔNG TY CỔ PHẦN PHÁT TRIỂN HẠ TẦNG KỸ THUẬT BECAMEX - BÌNH PHƯỚC</v>
      </c>
      <c r="AC76" s="116" t="str">
        <f t="shared" si="6"/>
        <v>Căn 28 lô AM-16</v>
      </c>
      <c r="AD76" s="120">
        <f t="shared" si="7"/>
        <v>159</v>
      </c>
      <c r="AE76" s="121"/>
      <c r="AF76" s="113" t="s">
        <v>100</v>
      </c>
      <c r="AG76" s="111" t="s">
        <v>130</v>
      </c>
      <c r="AH76" s="111" t="s">
        <v>901</v>
      </c>
      <c r="AI76" s="104">
        <v>75</v>
      </c>
      <c r="AJ76" s="136"/>
    </row>
    <row r="77" spans="1:36" ht="18.75" x14ac:dyDescent="0.25">
      <c r="A77" s="105" t="s">
        <v>1177</v>
      </c>
      <c r="B77" s="142" t="s">
        <v>1402</v>
      </c>
      <c r="C77" s="112" t="s">
        <v>1402</v>
      </c>
      <c r="D77" s="105" t="s">
        <v>1403</v>
      </c>
      <c r="E77" s="105" t="s">
        <v>1208</v>
      </c>
      <c r="F77" s="119" t="s">
        <v>1722</v>
      </c>
      <c r="G77" s="105" t="s">
        <v>1203</v>
      </c>
      <c r="H77" s="105" t="s">
        <v>1404</v>
      </c>
      <c r="I77" s="143" t="s">
        <v>1210</v>
      </c>
      <c r="J77" s="106">
        <v>45652</v>
      </c>
      <c r="K77" s="105"/>
      <c r="L77" s="105" t="s">
        <v>1181</v>
      </c>
      <c r="M77" s="105" t="s">
        <v>1182</v>
      </c>
      <c r="N77" s="106">
        <v>27861</v>
      </c>
      <c r="O77" s="119" t="s">
        <v>1150</v>
      </c>
      <c r="P77" s="105" t="s">
        <v>1183</v>
      </c>
      <c r="Q77" s="105" t="s">
        <v>1184</v>
      </c>
      <c r="R77" s="106">
        <v>44375</v>
      </c>
      <c r="S77" s="105" t="s">
        <v>1185</v>
      </c>
      <c r="T77" s="105" t="s">
        <v>1186</v>
      </c>
      <c r="U77" s="107" t="s">
        <v>1187</v>
      </c>
      <c r="V77" s="108">
        <v>45668</v>
      </c>
      <c r="W77">
        <v>3800405138</v>
      </c>
      <c r="X77" s="105" t="s">
        <v>1188</v>
      </c>
      <c r="Y77" s="109">
        <v>45861</v>
      </c>
      <c r="AB77" s="126" t="e">
        <f t="shared" si="5"/>
        <v>#N/A</v>
      </c>
      <c r="AC77" s="126" t="e">
        <f t="shared" si="6"/>
        <v>#N/A</v>
      </c>
      <c r="AD77" s="144" t="e">
        <f t="shared" si="7"/>
        <v>#N/A</v>
      </c>
      <c r="AE77" s="121"/>
      <c r="AF77" s="113" t="s">
        <v>118</v>
      </c>
      <c r="AG77" s="111" t="s">
        <v>148</v>
      </c>
      <c r="AH77" s="111" t="s">
        <v>902</v>
      </c>
      <c r="AI77" s="104">
        <v>76</v>
      </c>
      <c r="AJ77" s="136"/>
    </row>
    <row r="78" spans="1:36" ht="18.75" x14ac:dyDescent="0.25">
      <c r="A78" s="105" t="s">
        <v>1177</v>
      </c>
      <c r="B78" s="142" t="s">
        <v>1405</v>
      </c>
      <c r="C78" s="112" t="s">
        <v>1405</v>
      </c>
      <c r="D78" s="105" t="s">
        <v>1406</v>
      </c>
      <c r="E78" s="105" t="s">
        <v>1208</v>
      </c>
      <c r="F78" s="119" t="s">
        <v>1723</v>
      </c>
      <c r="G78" s="105" t="s">
        <v>1203</v>
      </c>
      <c r="H78" s="105" t="s">
        <v>1407</v>
      </c>
      <c r="I78" s="143" t="s">
        <v>1210</v>
      </c>
      <c r="J78" s="106">
        <v>45652</v>
      </c>
      <c r="K78" s="105"/>
      <c r="L78" s="105" t="s">
        <v>1181</v>
      </c>
      <c r="M78" s="105" t="s">
        <v>1182</v>
      </c>
      <c r="N78" s="106">
        <v>27861</v>
      </c>
      <c r="O78" s="119" t="s">
        <v>1150</v>
      </c>
      <c r="P78" s="105" t="s">
        <v>1183</v>
      </c>
      <c r="Q78" s="105" t="s">
        <v>1184</v>
      </c>
      <c r="R78" s="106">
        <v>44375</v>
      </c>
      <c r="S78" s="105" t="s">
        <v>1185</v>
      </c>
      <c r="T78" s="105" t="s">
        <v>1186</v>
      </c>
      <c r="U78" s="107" t="s">
        <v>1187</v>
      </c>
      <c r="V78" s="108">
        <v>45668</v>
      </c>
      <c r="W78">
        <v>3800405138</v>
      </c>
      <c r="X78" s="105" t="s">
        <v>1188</v>
      </c>
      <c r="Y78" s="109">
        <v>45861</v>
      </c>
      <c r="AB78" s="126" t="e">
        <f t="shared" si="5"/>
        <v>#N/A</v>
      </c>
      <c r="AC78" s="126" t="e">
        <f t="shared" si="6"/>
        <v>#N/A</v>
      </c>
      <c r="AD78" s="144" t="e">
        <f t="shared" si="7"/>
        <v>#N/A</v>
      </c>
      <c r="AE78" s="121"/>
      <c r="AF78" s="122" t="s">
        <v>101</v>
      </c>
      <c r="AG78" s="123" t="s">
        <v>131</v>
      </c>
      <c r="AH78" s="123" t="s">
        <v>903</v>
      </c>
      <c r="AI78" s="124">
        <v>77</v>
      </c>
      <c r="AJ78" s="134"/>
    </row>
    <row r="79" spans="1:36" ht="18.75" x14ac:dyDescent="0.25">
      <c r="A79" s="105" t="s">
        <v>1177</v>
      </c>
      <c r="B79" s="112" t="s">
        <v>169</v>
      </c>
      <c r="C79" s="112" t="s">
        <v>169</v>
      </c>
      <c r="D79" s="105" t="s">
        <v>1408</v>
      </c>
      <c r="E79" s="105" t="s">
        <v>1409</v>
      </c>
      <c r="F79" s="105" t="s">
        <v>1410</v>
      </c>
      <c r="G79" s="105" t="s">
        <v>1410</v>
      </c>
      <c r="H79" s="105" t="s">
        <v>1411</v>
      </c>
      <c r="I79" s="105" t="s">
        <v>1205</v>
      </c>
      <c r="J79" s="106">
        <v>44519</v>
      </c>
      <c r="K79" s="105"/>
      <c r="L79" s="105" t="s">
        <v>1181</v>
      </c>
      <c r="M79" s="105" t="s">
        <v>1182</v>
      </c>
      <c r="N79" s="106">
        <v>27861</v>
      </c>
      <c r="O79" s="119" t="s">
        <v>1150</v>
      </c>
      <c r="P79" s="105" t="s">
        <v>1183</v>
      </c>
      <c r="Q79" s="105" t="s">
        <v>1184</v>
      </c>
      <c r="R79" s="106">
        <v>44375</v>
      </c>
      <c r="S79" s="105" t="s">
        <v>1185</v>
      </c>
      <c r="T79" s="105" t="s">
        <v>1186</v>
      </c>
      <c r="U79" s="107" t="s">
        <v>1187</v>
      </c>
      <c r="V79" s="108">
        <v>45668</v>
      </c>
      <c r="W79">
        <v>3800405138</v>
      </c>
      <c r="X79" s="105" t="s">
        <v>1188</v>
      </c>
      <c r="Y79" s="109">
        <v>45861</v>
      </c>
      <c r="AB79" s="116" t="str">
        <f t="shared" si="5"/>
        <v>CÔNG TY CỔ PHẦN PHÁT TRIỂN HẠ TẦNG KỸ THUẬT BECAMEX - BÌNH PHƯỚC</v>
      </c>
      <c r="AC79" s="116" t="str">
        <f t="shared" si="6"/>
        <v>Căn 21 lô TĐC-31</v>
      </c>
      <c r="AD79" s="120">
        <f t="shared" si="7"/>
        <v>60</v>
      </c>
      <c r="AE79" s="121"/>
      <c r="AF79" s="113" t="s">
        <v>119</v>
      </c>
      <c r="AG79" s="111" t="s">
        <v>149</v>
      </c>
      <c r="AH79" s="111" t="s">
        <v>904</v>
      </c>
      <c r="AI79" s="104">
        <v>78</v>
      </c>
      <c r="AJ79" s="136"/>
    </row>
    <row r="80" spans="1:36" ht="18.75" x14ac:dyDescent="0.25">
      <c r="A80" s="105" t="s">
        <v>1177</v>
      </c>
      <c r="B80" s="112" t="s">
        <v>212</v>
      </c>
      <c r="C80" s="112" t="s">
        <v>212</v>
      </c>
      <c r="D80" s="105" t="s">
        <v>1412</v>
      </c>
      <c r="E80" s="105" t="s">
        <v>65</v>
      </c>
      <c r="F80" s="105" t="s">
        <v>1413</v>
      </c>
      <c r="G80" s="105" t="s">
        <v>1413</v>
      </c>
      <c r="H80" s="105" t="s">
        <v>237</v>
      </c>
      <c r="I80" s="105" t="s">
        <v>1180</v>
      </c>
      <c r="J80" s="106">
        <v>45511</v>
      </c>
      <c r="K80" s="105"/>
      <c r="L80" s="105" t="s">
        <v>1181</v>
      </c>
      <c r="M80" s="105" t="s">
        <v>1182</v>
      </c>
      <c r="N80" s="106">
        <v>27861</v>
      </c>
      <c r="O80" s="119" t="s">
        <v>1150</v>
      </c>
      <c r="P80" s="105" t="s">
        <v>1183</v>
      </c>
      <c r="Q80" s="105" t="s">
        <v>1184</v>
      </c>
      <c r="R80" s="106">
        <v>44375</v>
      </c>
      <c r="S80" s="105" t="s">
        <v>1185</v>
      </c>
      <c r="T80" s="105" t="s">
        <v>1186</v>
      </c>
      <c r="U80" s="107" t="s">
        <v>1187</v>
      </c>
      <c r="V80" s="108">
        <v>45668</v>
      </c>
      <c r="W80">
        <v>3800405138</v>
      </c>
      <c r="X80" s="105" t="s">
        <v>1188</v>
      </c>
      <c r="Y80" s="109">
        <v>45861</v>
      </c>
      <c r="AB80" s="116" t="str">
        <f t="shared" si="5"/>
        <v>CÔNG TY CỔ PHẦN PHÁT TRIỂN HẠ TẦNG KỸ THUẬT BECAMEX - BÌNH PHƯỚC</v>
      </c>
      <c r="AC80" s="116" t="str">
        <f t="shared" si="6"/>
        <v>Căn 4 lô TĐC-44</v>
      </c>
      <c r="AD80" s="120">
        <f t="shared" si="7"/>
        <v>95</v>
      </c>
      <c r="AE80" s="121"/>
      <c r="AF80" s="113" t="s">
        <v>102</v>
      </c>
      <c r="AG80" s="111" t="s">
        <v>132</v>
      </c>
      <c r="AH80" s="111" t="s">
        <v>905</v>
      </c>
      <c r="AI80" s="104">
        <v>79</v>
      </c>
      <c r="AJ80" s="136"/>
    </row>
    <row r="81" spans="1:36" ht="18.75" x14ac:dyDescent="0.25">
      <c r="A81" s="105" t="s">
        <v>1177</v>
      </c>
      <c r="B81" s="112" t="s">
        <v>297</v>
      </c>
      <c r="C81" s="112" t="s">
        <v>297</v>
      </c>
      <c r="D81" s="105" t="s">
        <v>1414</v>
      </c>
      <c r="E81" s="105" t="s">
        <v>65</v>
      </c>
      <c r="F81" s="105" t="s">
        <v>1415</v>
      </c>
      <c r="G81" s="105" t="s">
        <v>1415</v>
      </c>
      <c r="H81" s="105" t="s">
        <v>1416</v>
      </c>
      <c r="I81" s="105" t="s">
        <v>1192</v>
      </c>
      <c r="J81" s="106">
        <v>45549</v>
      </c>
      <c r="K81" s="105"/>
      <c r="L81" s="105" t="s">
        <v>1181</v>
      </c>
      <c r="M81" s="105" t="s">
        <v>1182</v>
      </c>
      <c r="N81" s="106">
        <v>27861</v>
      </c>
      <c r="O81" s="119" t="s">
        <v>1150</v>
      </c>
      <c r="P81" s="105" t="s">
        <v>1183</v>
      </c>
      <c r="Q81" s="105" t="s">
        <v>1184</v>
      </c>
      <c r="R81" s="106">
        <v>44375</v>
      </c>
      <c r="S81" s="105" t="s">
        <v>1185</v>
      </c>
      <c r="T81" s="105" t="s">
        <v>1186</v>
      </c>
      <c r="U81" s="107" t="s">
        <v>1187</v>
      </c>
      <c r="V81" s="108">
        <v>45668</v>
      </c>
      <c r="W81">
        <v>3800405138</v>
      </c>
      <c r="X81" s="105" t="s">
        <v>1188</v>
      </c>
      <c r="Y81" s="109">
        <v>45861</v>
      </c>
      <c r="AB81" s="116" t="str">
        <f t="shared" si="5"/>
        <v>CÔNG TY CỔ PHẦN PHÁT TRIỂN HẠ TẦNG KỸ THUẬT BECAMEX - BÌNH PHƯỚC</v>
      </c>
      <c r="AC81" s="116" t="str">
        <f t="shared" si="6"/>
        <v>Căn 32 lô AM-16</v>
      </c>
      <c r="AD81" s="120">
        <f t="shared" si="7"/>
        <v>163</v>
      </c>
      <c r="AE81" s="121"/>
      <c r="AF81" s="113" t="s">
        <v>103</v>
      </c>
      <c r="AG81" s="111" t="s">
        <v>133</v>
      </c>
      <c r="AH81" s="111" t="s">
        <v>906</v>
      </c>
      <c r="AI81" s="104">
        <v>80</v>
      </c>
      <c r="AJ81" s="136"/>
    </row>
    <row r="82" spans="1:36" ht="18.75" x14ac:dyDescent="0.25">
      <c r="A82" s="105" t="s">
        <v>1177</v>
      </c>
      <c r="B82" s="112" t="s">
        <v>332</v>
      </c>
      <c r="C82" s="112" t="s">
        <v>332</v>
      </c>
      <c r="D82" s="105" t="s">
        <v>1417</v>
      </c>
      <c r="E82" s="105" t="s">
        <v>65</v>
      </c>
      <c r="F82" s="105" t="s">
        <v>1418</v>
      </c>
      <c r="G82" s="105" t="s">
        <v>1418</v>
      </c>
      <c r="H82" s="105" t="s">
        <v>1419</v>
      </c>
      <c r="I82" s="105" t="s">
        <v>1192</v>
      </c>
      <c r="J82" s="106">
        <v>45551</v>
      </c>
      <c r="K82" s="105"/>
      <c r="L82" s="105" t="s">
        <v>1181</v>
      </c>
      <c r="M82" s="105" t="s">
        <v>1182</v>
      </c>
      <c r="N82" s="106">
        <v>27861</v>
      </c>
      <c r="O82" s="119" t="s">
        <v>1150</v>
      </c>
      <c r="P82" s="105" t="s">
        <v>1183</v>
      </c>
      <c r="Q82" s="105" t="s">
        <v>1184</v>
      </c>
      <c r="R82" s="106">
        <v>44375</v>
      </c>
      <c r="S82" s="105" t="s">
        <v>1185</v>
      </c>
      <c r="T82" s="105" t="s">
        <v>1186</v>
      </c>
      <c r="U82" s="107" t="s">
        <v>1187</v>
      </c>
      <c r="V82" s="108">
        <v>45668</v>
      </c>
      <c r="W82">
        <v>3800405138</v>
      </c>
      <c r="X82" s="105" t="s">
        <v>1188</v>
      </c>
      <c r="Y82" s="109">
        <v>45861</v>
      </c>
      <c r="AB82" s="116" t="str">
        <f t="shared" si="5"/>
        <v>CÔNG TY CỔ PHẦN PHÁT TRIỂN HẠ TẦNG KỸ THUẬT BECAMEX - BÌNH PHƯỚC</v>
      </c>
      <c r="AC82" s="116" t="str">
        <f t="shared" si="6"/>
        <v>Căn 51 lô AM-16</v>
      </c>
      <c r="AD82" s="120">
        <f t="shared" si="7"/>
        <v>182</v>
      </c>
      <c r="AE82" s="121"/>
      <c r="AF82" s="113" t="s">
        <v>104</v>
      </c>
      <c r="AG82" s="111" t="s">
        <v>134</v>
      </c>
      <c r="AH82" s="111" t="s">
        <v>907</v>
      </c>
      <c r="AI82" s="104">
        <v>81</v>
      </c>
      <c r="AJ82" s="136"/>
    </row>
    <row r="83" spans="1:36" ht="18.75" x14ac:dyDescent="0.25">
      <c r="A83" s="105" t="s">
        <v>1177</v>
      </c>
      <c r="B83" s="112" t="s">
        <v>348</v>
      </c>
      <c r="C83" s="112" t="s">
        <v>348</v>
      </c>
      <c r="D83" s="105" t="s">
        <v>1420</v>
      </c>
      <c r="E83" s="105" t="s">
        <v>65</v>
      </c>
      <c r="F83" s="105" t="s">
        <v>1421</v>
      </c>
      <c r="G83" s="105" t="s">
        <v>1421</v>
      </c>
      <c r="H83" s="105" t="s">
        <v>1422</v>
      </c>
      <c r="I83" s="105" t="s">
        <v>1192</v>
      </c>
      <c r="J83" s="106">
        <v>45551</v>
      </c>
      <c r="K83" s="105"/>
      <c r="L83" s="105" t="s">
        <v>1181</v>
      </c>
      <c r="M83" s="105" t="s">
        <v>1182</v>
      </c>
      <c r="N83" s="106">
        <v>27861</v>
      </c>
      <c r="O83" s="119" t="s">
        <v>1150</v>
      </c>
      <c r="P83" s="105" t="s">
        <v>1183</v>
      </c>
      <c r="Q83" s="105" t="s">
        <v>1184</v>
      </c>
      <c r="R83" s="106">
        <v>44375</v>
      </c>
      <c r="S83" s="105" t="s">
        <v>1185</v>
      </c>
      <c r="T83" s="105" t="s">
        <v>1186</v>
      </c>
      <c r="U83" s="107" t="s">
        <v>1187</v>
      </c>
      <c r="V83" s="108">
        <v>45668</v>
      </c>
      <c r="W83">
        <v>3800405138</v>
      </c>
      <c r="X83" s="105" t="s">
        <v>1188</v>
      </c>
      <c r="Y83" s="109">
        <v>45861</v>
      </c>
      <c r="AB83" s="116" t="str">
        <f t="shared" si="5"/>
        <v>CÔNG TY CỔ PHẦN PHÁT TRIỂN HẠ TẦNG KỸ THUẬT BECAMEX - BÌNH PHƯỚC</v>
      </c>
      <c r="AC83" s="116" t="str">
        <f t="shared" si="6"/>
        <v>Căn 14 lô AM-16</v>
      </c>
      <c r="AD83" s="120">
        <f t="shared" si="7"/>
        <v>145</v>
      </c>
      <c r="AE83" s="121"/>
      <c r="AF83" s="113" t="s">
        <v>105</v>
      </c>
      <c r="AG83" s="111" t="s">
        <v>135</v>
      </c>
      <c r="AH83" s="111" t="s">
        <v>908</v>
      </c>
      <c r="AI83" s="104">
        <v>82</v>
      </c>
      <c r="AJ83" s="136"/>
    </row>
    <row r="84" spans="1:36" ht="18.75" x14ac:dyDescent="0.25">
      <c r="A84" s="105" t="s">
        <v>1177</v>
      </c>
      <c r="B84" s="112" t="s">
        <v>344</v>
      </c>
      <c r="C84" s="112" t="s">
        <v>344</v>
      </c>
      <c r="D84" s="105" t="s">
        <v>1423</v>
      </c>
      <c r="E84" s="105" t="s">
        <v>65</v>
      </c>
      <c r="F84" s="105" t="s">
        <v>1424</v>
      </c>
      <c r="G84" s="105" t="s">
        <v>1424</v>
      </c>
      <c r="H84" s="105" t="s">
        <v>1425</v>
      </c>
      <c r="I84" s="105" t="s">
        <v>1192</v>
      </c>
      <c r="J84" s="106">
        <v>45551</v>
      </c>
      <c r="K84" s="105"/>
      <c r="L84" s="105" t="s">
        <v>1181</v>
      </c>
      <c r="M84" s="105" t="s">
        <v>1182</v>
      </c>
      <c r="N84" s="106">
        <v>27861</v>
      </c>
      <c r="O84" s="119" t="s">
        <v>1150</v>
      </c>
      <c r="P84" s="105" t="s">
        <v>1183</v>
      </c>
      <c r="Q84" s="105" t="s">
        <v>1184</v>
      </c>
      <c r="R84" s="106">
        <v>44375</v>
      </c>
      <c r="S84" s="105" t="s">
        <v>1185</v>
      </c>
      <c r="T84" s="105" t="s">
        <v>1186</v>
      </c>
      <c r="U84" s="107" t="s">
        <v>1187</v>
      </c>
      <c r="V84" s="108">
        <v>45668</v>
      </c>
      <c r="W84">
        <v>3800405138</v>
      </c>
      <c r="X84" s="105" t="s">
        <v>1188</v>
      </c>
      <c r="Y84" s="109">
        <v>45861</v>
      </c>
      <c r="AB84" s="116" t="str">
        <f t="shared" si="5"/>
        <v>CÔNG TY CỔ PHẦN PHÁT TRIỂN HẠ TẦNG KỸ THUẬT BECAMEX - BÌNH PHƯỚC</v>
      </c>
      <c r="AC84" s="116" t="str">
        <f t="shared" si="6"/>
        <v>Căn 18 lô AM-16</v>
      </c>
      <c r="AD84" s="120">
        <f t="shared" si="7"/>
        <v>149</v>
      </c>
      <c r="AE84" s="121"/>
      <c r="AF84" s="113" t="s">
        <v>106</v>
      </c>
      <c r="AG84" s="111" t="s">
        <v>136</v>
      </c>
      <c r="AH84" s="111" t="s">
        <v>909</v>
      </c>
      <c r="AI84" s="104">
        <v>83</v>
      </c>
      <c r="AJ84" s="136"/>
    </row>
    <row r="85" spans="1:36" ht="18.75" x14ac:dyDescent="0.25">
      <c r="A85" s="105" t="s">
        <v>1177</v>
      </c>
      <c r="B85" s="112" t="s">
        <v>337</v>
      </c>
      <c r="C85" s="112" t="s">
        <v>337</v>
      </c>
      <c r="D85" s="105" t="s">
        <v>1426</v>
      </c>
      <c r="E85" s="105" t="s">
        <v>65</v>
      </c>
      <c r="F85" s="105" t="s">
        <v>1427</v>
      </c>
      <c r="G85" s="105" t="s">
        <v>1427</v>
      </c>
      <c r="H85" s="105" t="s">
        <v>1428</v>
      </c>
      <c r="I85" s="105" t="s">
        <v>1192</v>
      </c>
      <c r="J85" s="106">
        <v>45551</v>
      </c>
      <c r="K85" s="105"/>
      <c r="L85" s="105" t="s">
        <v>1181</v>
      </c>
      <c r="M85" s="105" t="s">
        <v>1182</v>
      </c>
      <c r="N85" s="106">
        <v>27861</v>
      </c>
      <c r="O85" s="119" t="s">
        <v>1150</v>
      </c>
      <c r="P85" s="105" t="s">
        <v>1183</v>
      </c>
      <c r="Q85" s="105" t="s">
        <v>1184</v>
      </c>
      <c r="R85" s="106">
        <v>44375</v>
      </c>
      <c r="S85" s="105" t="s">
        <v>1185</v>
      </c>
      <c r="T85" s="105" t="s">
        <v>1186</v>
      </c>
      <c r="U85" s="107" t="s">
        <v>1187</v>
      </c>
      <c r="V85" s="108">
        <v>45668</v>
      </c>
      <c r="W85">
        <v>3800405138</v>
      </c>
      <c r="X85" s="105" t="s">
        <v>1188</v>
      </c>
      <c r="Y85" s="109">
        <v>45861</v>
      </c>
      <c r="AB85" s="116" t="str">
        <f t="shared" si="5"/>
        <v>CÔNG TY CỔ PHẦN PHÁT TRIỂN HẠ TẦNG KỸ THUẬT BECAMEX - BÌNH PHƯỚC</v>
      </c>
      <c r="AC85" s="116" t="str">
        <f t="shared" si="6"/>
        <v>Căn 45 lô AM-16</v>
      </c>
      <c r="AD85" s="120">
        <f t="shared" si="7"/>
        <v>176</v>
      </c>
      <c r="AE85" s="121"/>
      <c r="AF85" s="113" t="s">
        <v>107</v>
      </c>
      <c r="AG85" s="111" t="s">
        <v>137</v>
      </c>
      <c r="AH85" s="111" t="s">
        <v>910</v>
      </c>
      <c r="AI85" s="104">
        <v>84</v>
      </c>
      <c r="AJ85" s="136"/>
    </row>
    <row r="86" spans="1:36" ht="18.75" x14ac:dyDescent="0.25">
      <c r="A86" s="105" t="s">
        <v>1177</v>
      </c>
      <c r="B86" s="112" t="s">
        <v>93</v>
      </c>
      <c r="C86" s="112" t="s">
        <v>93</v>
      </c>
      <c r="D86" s="105" t="s">
        <v>1429</v>
      </c>
      <c r="E86" s="105" t="s">
        <v>123</v>
      </c>
      <c r="F86" s="105" t="s">
        <v>1203</v>
      </c>
      <c r="G86" s="105" t="s">
        <v>1203</v>
      </c>
      <c r="H86" s="105" t="s">
        <v>1430</v>
      </c>
      <c r="I86" s="105" t="s">
        <v>1205</v>
      </c>
      <c r="J86" s="106">
        <v>45090</v>
      </c>
      <c r="K86" s="105"/>
      <c r="L86" s="105" t="s">
        <v>1181</v>
      </c>
      <c r="M86" s="105" t="s">
        <v>1182</v>
      </c>
      <c r="N86" s="106">
        <v>27861</v>
      </c>
      <c r="O86" s="119" t="s">
        <v>1150</v>
      </c>
      <c r="P86" s="105" t="s">
        <v>1183</v>
      </c>
      <c r="Q86" s="105" t="s">
        <v>1184</v>
      </c>
      <c r="R86" s="106">
        <v>44375</v>
      </c>
      <c r="S86" s="105" t="s">
        <v>1185</v>
      </c>
      <c r="T86" s="105" t="s">
        <v>1186</v>
      </c>
      <c r="U86" s="107" t="s">
        <v>1187</v>
      </c>
      <c r="V86" s="108">
        <v>45668</v>
      </c>
      <c r="W86">
        <v>3800405138</v>
      </c>
      <c r="X86" s="105" t="s">
        <v>1188</v>
      </c>
      <c r="Y86" s="109">
        <v>45861</v>
      </c>
      <c r="AB86" s="116" t="str">
        <f t="shared" si="5"/>
        <v>CÔNG TY CỔ PHẦN PHÁT TRIỂN HẠ TẦNG KỸ THUẬT BECAMEX-BÌNH PHƯỚC(33 Lô TDC-31)</v>
      </c>
      <c r="AC86" s="116" t="str">
        <f t="shared" si="6"/>
        <v>Căn 33 lô TĐC-31</v>
      </c>
      <c r="AD86" s="120">
        <f t="shared" si="7"/>
        <v>68</v>
      </c>
      <c r="AE86" s="121"/>
      <c r="AF86" s="113" t="s">
        <v>108</v>
      </c>
      <c r="AG86" s="111" t="s">
        <v>138</v>
      </c>
      <c r="AH86" s="111" t="s">
        <v>911</v>
      </c>
      <c r="AI86" s="104">
        <v>85</v>
      </c>
      <c r="AJ86" s="136"/>
    </row>
    <row r="87" spans="1:36" ht="18.75" x14ac:dyDescent="0.25">
      <c r="A87" s="105" t="s">
        <v>1177</v>
      </c>
      <c r="B87" s="112" t="s">
        <v>167</v>
      </c>
      <c r="C87" s="112" t="s">
        <v>167</v>
      </c>
      <c r="D87" s="105" t="s">
        <v>1431</v>
      </c>
      <c r="E87" s="105" t="s">
        <v>1432</v>
      </c>
      <c r="F87" s="105" t="s">
        <v>1433</v>
      </c>
      <c r="G87" s="105" t="s">
        <v>1433</v>
      </c>
      <c r="H87" s="105" t="s">
        <v>1434</v>
      </c>
      <c r="I87" s="105" t="s">
        <v>1205</v>
      </c>
      <c r="J87" s="106">
        <v>44519</v>
      </c>
      <c r="K87" s="105"/>
      <c r="L87" s="105" t="s">
        <v>1181</v>
      </c>
      <c r="M87" s="105" t="s">
        <v>1182</v>
      </c>
      <c r="N87" s="106">
        <v>27861</v>
      </c>
      <c r="O87" s="119" t="s">
        <v>1150</v>
      </c>
      <c r="P87" s="105" t="s">
        <v>1183</v>
      </c>
      <c r="Q87" s="105" t="s">
        <v>1184</v>
      </c>
      <c r="R87" s="106">
        <v>44375</v>
      </c>
      <c r="S87" s="105" t="s">
        <v>1185</v>
      </c>
      <c r="T87" s="105" t="s">
        <v>1186</v>
      </c>
      <c r="U87" s="107" t="s">
        <v>1187</v>
      </c>
      <c r="V87" s="108">
        <v>45668</v>
      </c>
      <c r="W87">
        <v>3800405138</v>
      </c>
      <c r="X87" s="105" t="s">
        <v>1188</v>
      </c>
      <c r="Y87" s="109">
        <v>45861</v>
      </c>
      <c r="AB87" s="116" t="str">
        <f t="shared" si="5"/>
        <v>CÔNG TY CỔ PHẦN PHÁT TRIỂN HẠ TẦNG KỸ THUẬT BECAMEX - BÌNH PHƯỚC</v>
      </c>
      <c r="AC87" s="116" t="str">
        <f t="shared" si="6"/>
        <v>Căn 19 lô TĐC-31</v>
      </c>
      <c r="AD87" s="120">
        <f t="shared" si="7"/>
        <v>58</v>
      </c>
      <c r="AE87" s="121"/>
      <c r="AF87" s="113" t="s">
        <v>109</v>
      </c>
      <c r="AG87" s="111" t="s">
        <v>139</v>
      </c>
      <c r="AH87" s="111" t="s">
        <v>912</v>
      </c>
      <c r="AI87" s="104">
        <v>86</v>
      </c>
      <c r="AJ87" s="136"/>
    </row>
    <row r="88" spans="1:36" ht="18.75" x14ac:dyDescent="0.25">
      <c r="A88" s="105" t="s">
        <v>1177</v>
      </c>
      <c r="B88" s="142" t="s">
        <v>1435</v>
      </c>
      <c r="C88" s="112" t="s">
        <v>1435</v>
      </c>
      <c r="D88" s="105" t="s">
        <v>1436</v>
      </c>
      <c r="E88" s="105" t="s">
        <v>1208</v>
      </c>
      <c r="F88" s="119" t="s">
        <v>1724</v>
      </c>
      <c r="G88" s="105" t="s">
        <v>1203</v>
      </c>
      <c r="H88" s="105" t="s">
        <v>1437</v>
      </c>
      <c r="I88" s="143" t="s">
        <v>1210</v>
      </c>
      <c r="J88" s="106">
        <v>45652</v>
      </c>
      <c r="K88" s="105"/>
      <c r="L88" s="105" t="s">
        <v>1181</v>
      </c>
      <c r="M88" s="105" t="s">
        <v>1182</v>
      </c>
      <c r="N88" s="106">
        <v>27861</v>
      </c>
      <c r="O88" s="119" t="s">
        <v>1150</v>
      </c>
      <c r="P88" s="105" t="s">
        <v>1183</v>
      </c>
      <c r="Q88" s="105" t="s">
        <v>1184</v>
      </c>
      <c r="R88" s="106">
        <v>44375</v>
      </c>
      <c r="S88" s="105" t="s">
        <v>1185</v>
      </c>
      <c r="T88" s="105" t="s">
        <v>1186</v>
      </c>
      <c r="U88" s="107" t="s">
        <v>1187</v>
      </c>
      <c r="V88" s="108">
        <v>45668</v>
      </c>
      <c r="W88">
        <v>3800405138</v>
      </c>
      <c r="X88" s="105" t="s">
        <v>1188</v>
      </c>
      <c r="Y88" s="109">
        <v>45861</v>
      </c>
      <c r="AB88" s="126" t="e">
        <f t="shared" si="5"/>
        <v>#N/A</v>
      </c>
      <c r="AC88" s="126" t="e">
        <f t="shared" si="6"/>
        <v>#N/A</v>
      </c>
      <c r="AD88" s="144" t="e">
        <f t="shared" si="7"/>
        <v>#N/A</v>
      </c>
      <c r="AE88" s="121"/>
      <c r="AF88" s="113" t="s">
        <v>110</v>
      </c>
      <c r="AG88" s="111" t="s">
        <v>140</v>
      </c>
      <c r="AH88" s="111" t="s">
        <v>913</v>
      </c>
      <c r="AI88" s="104">
        <v>87</v>
      </c>
      <c r="AJ88" s="136"/>
    </row>
    <row r="89" spans="1:36" ht="18.75" x14ac:dyDescent="0.25">
      <c r="A89" s="105" t="s">
        <v>1177</v>
      </c>
      <c r="B89" s="112" t="s">
        <v>217</v>
      </c>
      <c r="C89" s="112" t="s">
        <v>217</v>
      </c>
      <c r="D89" s="105" t="s">
        <v>1438</v>
      </c>
      <c r="E89" s="105" t="s">
        <v>65</v>
      </c>
      <c r="F89" s="105" t="s">
        <v>1439</v>
      </c>
      <c r="G89" s="105" t="s">
        <v>1439</v>
      </c>
      <c r="H89" s="105" t="s">
        <v>242</v>
      </c>
      <c r="I89" s="105" t="s">
        <v>1180</v>
      </c>
      <c r="J89" s="106">
        <v>45511</v>
      </c>
      <c r="K89" s="105"/>
      <c r="L89" s="105" t="s">
        <v>1181</v>
      </c>
      <c r="M89" s="105" t="s">
        <v>1182</v>
      </c>
      <c r="N89" s="106">
        <v>27861</v>
      </c>
      <c r="O89" s="119" t="s">
        <v>1150</v>
      </c>
      <c r="P89" s="105" t="s">
        <v>1183</v>
      </c>
      <c r="Q89" s="105" t="s">
        <v>1184</v>
      </c>
      <c r="R89" s="106">
        <v>44375</v>
      </c>
      <c r="S89" s="105" t="s">
        <v>1185</v>
      </c>
      <c r="T89" s="105" t="s">
        <v>1186</v>
      </c>
      <c r="U89" s="107" t="s">
        <v>1187</v>
      </c>
      <c r="V89" s="108">
        <v>45668</v>
      </c>
      <c r="W89">
        <v>3800405138</v>
      </c>
      <c r="X89" s="105" t="s">
        <v>1188</v>
      </c>
      <c r="Y89" s="109">
        <v>45861</v>
      </c>
      <c r="AB89" s="116" t="str">
        <f t="shared" si="5"/>
        <v>CÔNG TY CỔ PHẦN PHÁT TRIỂN HẠ TẦNG KỸ THUẬT BECAMEX - BÌNH PHƯỚC</v>
      </c>
      <c r="AC89" s="116" t="str">
        <f t="shared" si="6"/>
        <v>Căn 9 lô TĐC-44</v>
      </c>
      <c r="AD89" s="120">
        <f t="shared" si="7"/>
        <v>100</v>
      </c>
      <c r="AE89" s="121"/>
      <c r="AF89" s="113" t="s">
        <v>111</v>
      </c>
      <c r="AG89" s="111" t="s">
        <v>141</v>
      </c>
      <c r="AH89" s="111" t="s">
        <v>914</v>
      </c>
      <c r="AI89" s="104">
        <v>88</v>
      </c>
      <c r="AJ89" s="136"/>
    </row>
    <row r="90" spans="1:36" ht="18.75" x14ac:dyDescent="0.25">
      <c r="A90" s="105" t="s">
        <v>1177</v>
      </c>
      <c r="B90" s="112" t="s">
        <v>287</v>
      </c>
      <c r="C90" s="112" t="s">
        <v>287</v>
      </c>
      <c r="D90" s="105" t="s">
        <v>1440</v>
      </c>
      <c r="E90" s="105" t="s">
        <v>65</v>
      </c>
      <c r="F90" s="105" t="s">
        <v>1441</v>
      </c>
      <c r="G90" s="105" t="s">
        <v>1441</v>
      </c>
      <c r="H90" s="105" t="s">
        <v>1442</v>
      </c>
      <c r="I90" s="105" t="s">
        <v>1192</v>
      </c>
      <c r="J90" s="106">
        <v>45549</v>
      </c>
      <c r="K90" s="105"/>
      <c r="L90" s="105" t="s">
        <v>1181</v>
      </c>
      <c r="M90" s="105" t="s">
        <v>1182</v>
      </c>
      <c r="N90" s="106">
        <v>27861</v>
      </c>
      <c r="O90" s="119" t="s">
        <v>1150</v>
      </c>
      <c r="P90" s="105" t="s">
        <v>1183</v>
      </c>
      <c r="Q90" s="105" t="s">
        <v>1184</v>
      </c>
      <c r="R90" s="106">
        <v>44375</v>
      </c>
      <c r="S90" s="105" t="s">
        <v>1185</v>
      </c>
      <c r="T90" s="105" t="s">
        <v>1186</v>
      </c>
      <c r="U90" s="107" t="s">
        <v>1187</v>
      </c>
      <c r="V90" s="108">
        <v>45668</v>
      </c>
      <c r="W90">
        <v>3800405138</v>
      </c>
      <c r="X90" s="105" t="s">
        <v>1188</v>
      </c>
      <c r="Y90" s="109">
        <v>45861</v>
      </c>
      <c r="AB90" s="116" t="str">
        <f t="shared" si="5"/>
        <v>CÔNG TY CỔ PHẦN PHÁT TRIỂN HẠ TẦNG KỸ THUẬT BECAMEX - BÌNH PHƯỚC</v>
      </c>
      <c r="AC90" s="116" t="str">
        <f t="shared" si="6"/>
        <v>Căn 22 lô AM-16</v>
      </c>
      <c r="AD90" s="120">
        <f t="shared" si="7"/>
        <v>153</v>
      </c>
      <c r="AE90" s="121"/>
      <c r="AF90" s="113" t="s">
        <v>112</v>
      </c>
      <c r="AG90" s="111" t="s">
        <v>142</v>
      </c>
      <c r="AH90" s="111" t="s">
        <v>915</v>
      </c>
      <c r="AI90" s="104">
        <v>89</v>
      </c>
      <c r="AJ90" s="136"/>
    </row>
    <row r="91" spans="1:36" ht="18.75" x14ac:dyDescent="0.25">
      <c r="A91" s="105" t="s">
        <v>1177</v>
      </c>
      <c r="B91" s="112" t="s">
        <v>288</v>
      </c>
      <c r="C91" s="112" t="s">
        <v>288</v>
      </c>
      <c r="D91" s="105" t="s">
        <v>1443</v>
      </c>
      <c r="E91" s="105" t="s">
        <v>65</v>
      </c>
      <c r="F91" s="105" t="s">
        <v>1444</v>
      </c>
      <c r="G91" s="105" t="s">
        <v>1444</v>
      </c>
      <c r="H91" s="105" t="s">
        <v>1445</v>
      </c>
      <c r="I91" s="105" t="s">
        <v>1192</v>
      </c>
      <c r="J91" s="106">
        <v>45549</v>
      </c>
      <c r="K91" s="105"/>
      <c r="L91" s="105" t="s">
        <v>1181</v>
      </c>
      <c r="M91" s="105" t="s">
        <v>1182</v>
      </c>
      <c r="N91" s="106">
        <v>27861</v>
      </c>
      <c r="O91" s="119" t="s">
        <v>1150</v>
      </c>
      <c r="P91" s="105" t="s">
        <v>1183</v>
      </c>
      <c r="Q91" s="105" t="s">
        <v>1184</v>
      </c>
      <c r="R91" s="106">
        <v>44375</v>
      </c>
      <c r="S91" s="105" t="s">
        <v>1185</v>
      </c>
      <c r="T91" s="105" t="s">
        <v>1186</v>
      </c>
      <c r="U91" s="107" t="s">
        <v>1187</v>
      </c>
      <c r="V91" s="108">
        <v>45668</v>
      </c>
      <c r="W91">
        <v>3800405138</v>
      </c>
      <c r="X91" s="105" t="s">
        <v>1188</v>
      </c>
      <c r="Y91" s="109">
        <v>45861</v>
      </c>
      <c r="AB91" s="116" t="str">
        <f t="shared" si="5"/>
        <v>CÔNG TY CỔ PHẦN PHÁT TRIỂN HẠ TẦNG KỸ THUẬT BECAMEX - BÌNH PHƯỚC</v>
      </c>
      <c r="AC91" s="116" t="str">
        <f t="shared" si="6"/>
        <v>Căn 23 lô AM-16</v>
      </c>
      <c r="AD91" s="120">
        <f t="shared" si="7"/>
        <v>154</v>
      </c>
      <c r="AE91" s="121"/>
      <c r="AF91" s="113" t="s">
        <v>113</v>
      </c>
      <c r="AG91" s="111" t="s">
        <v>143</v>
      </c>
      <c r="AH91" s="111" t="s">
        <v>916</v>
      </c>
      <c r="AI91" s="104">
        <v>90</v>
      </c>
      <c r="AJ91" s="136"/>
    </row>
    <row r="92" spans="1:36" ht="18.75" x14ac:dyDescent="0.25">
      <c r="A92" s="105" t="s">
        <v>1177</v>
      </c>
      <c r="B92" s="142" t="s">
        <v>1446</v>
      </c>
      <c r="C92" s="112" t="s">
        <v>1446</v>
      </c>
      <c r="D92" s="105" t="s">
        <v>1447</v>
      </c>
      <c r="E92" s="105" t="s">
        <v>1208</v>
      </c>
      <c r="F92" s="119" t="s">
        <v>1725</v>
      </c>
      <c r="G92" s="105" t="s">
        <v>1203</v>
      </c>
      <c r="H92" s="105" t="s">
        <v>1448</v>
      </c>
      <c r="I92" s="143" t="s">
        <v>1210</v>
      </c>
      <c r="J92" s="106">
        <v>45652</v>
      </c>
      <c r="K92" s="105"/>
      <c r="L92" s="105" t="s">
        <v>1181</v>
      </c>
      <c r="M92" s="105" t="s">
        <v>1182</v>
      </c>
      <c r="N92" s="106">
        <v>27861</v>
      </c>
      <c r="O92" s="119" t="s">
        <v>1150</v>
      </c>
      <c r="P92" s="105" t="s">
        <v>1183</v>
      </c>
      <c r="Q92" s="105" t="s">
        <v>1184</v>
      </c>
      <c r="R92" s="106">
        <v>44375</v>
      </c>
      <c r="S92" s="105" t="s">
        <v>1185</v>
      </c>
      <c r="T92" s="105" t="s">
        <v>1186</v>
      </c>
      <c r="U92" s="107" t="s">
        <v>1187</v>
      </c>
      <c r="V92" s="108">
        <v>45668</v>
      </c>
      <c r="W92">
        <v>3800405138</v>
      </c>
      <c r="X92" s="105" t="s">
        <v>1188</v>
      </c>
      <c r="Y92" s="109">
        <v>45861</v>
      </c>
      <c r="AB92" s="126" t="e">
        <f t="shared" si="5"/>
        <v>#N/A</v>
      </c>
      <c r="AC92" s="126" t="e">
        <f t="shared" si="6"/>
        <v>#N/A</v>
      </c>
      <c r="AD92" s="144" t="e">
        <f t="shared" si="7"/>
        <v>#N/A</v>
      </c>
      <c r="AE92" s="121"/>
      <c r="AF92" s="113" t="s">
        <v>114</v>
      </c>
      <c r="AG92" s="111" t="s">
        <v>144</v>
      </c>
      <c r="AH92" s="111" t="s">
        <v>917</v>
      </c>
      <c r="AI92" s="104">
        <v>91</v>
      </c>
      <c r="AJ92" s="136"/>
    </row>
    <row r="93" spans="1:36" ht="18.75" x14ac:dyDescent="0.25">
      <c r="A93" s="105" t="s">
        <v>1177</v>
      </c>
      <c r="B93" s="112" t="s">
        <v>352</v>
      </c>
      <c r="C93" s="112" t="s">
        <v>352</v>
      </c>
      <c r="D93" s="105" t="s">
        <v>1449</v>
      </c>
      <c r="E93" s="105" t="s">
        <v>65</v>
      </c>
      <c r="F93" s="105" t="s">
        <v>1450</v>
      </c>
      <c r="G93" s="105" t="s">
        <v>1450</v>
      </c>
      <c r="H93" s="105" t="s">
        <v>1451</v>
      </c>
      <c r="I93" s="105" t="s">
        <v>1192</v>
      </c>
      <c r="J93" s="106">
        <v>45551</v>
      </c>
      <c r="K93" s="105"/>
      <c r="L93" s="105" t="s">
        <v>1181</v>
      </c>
      <c r="M93" s="105" t="s">
        <v>1182</v>
      </c>
      <c r="N93" s="106">
        <v>27861</v>
      </c>
      <c r="O93" s="119" t="s">
        <v>1150</v>
      </c>
      <c r="P93" s="105" t="s">
        <v>1183</v>
      </c>
      <c r="Q93" s="105" t="s">
        <v>1184</v>
      </c>
      <c r="R93" s="106">
        <v>44375</v>
      </c>
      <c r="S93" s="105" t="s">
        <v>1185</v>
      </c>
      <c r="T93" s="105" t="s">
        <v>1186</v>
      </c>
      <c r="U93" s="107" t="s">
        <v>1187</v>
      </c>
      <c r="V93" s="108">
        <v>45668</v>
      </c>
      <c r="W93">
        <v>3800405138</v>
      </c>
      <c r="X93" s="105" t="s">
        <v>1188</v>
      </c>
      <c r="Y93" s="109">
        <v>45861</v>
      </c>
      <c r="AB93" s="116" t="str">
        <f t="shared" si="5"/>
        <v>CÔNG TY CỔ PHẦN PHÁT TRIỂN HẠ TẦNG KỸ THUẬT BECAMEX - BÌNH PHƯỚC</v>
      </c>
      <c r="AC93" s="116" t="str">
        <f t="shared" si="6"/>
        <v>Căn 10 lô AM-16</v>
      </c>
      <c r="AD93" s="120">
        <f t="shared" si="7"/>
        <v>141</v>
      </c>
      <c r="AE93" s="121"/>
      <c r="AF93" s="113" t="s">
        <v>115</v>
      </c>
      <c r="AG93" s="111" t="s">
        <v>145</v>
      </c>
      <c r="AH93" s="111" t="s">
        <v>918</v>
      </c>
      <c r="AI93" s="104">
        <v>92</v>
      </c>
      <c r="AJ93" s="136"/>
    </row>
    <row r="94" spans="1:36" ht="18.75" x14ac:dyDescent="0.25">
      <c r="A94" s="105" t="s">
        <v>1177</v>
      </c>
      <c r="B94" s="112" t="s">
        <v>347</v>
      </c>
      <c r="C94" s="112" t="s">
        <v>347</v>
      </c>
      <c r="D94" s="105" t="s">
        <v>1452</v>
      </c>
      <c r="E94" s="105" t="s">
        <v>65</v>
      </c>
      <c r="F94" s="105" t="s">
        <v>1453</v>
      </c>
      <c r="G94" s="105" t="s">
        <v>1453</v>
      </c>
      <c r="H94" s="105" t="s">
        <v>1454</v>
      </c>
      <c r="I94" s="105" t="s">
        <v>1192</v>
      </c>
      <c r="J94" s="106">
        <v>45551</v>
      </c>
      <c r="K94" s="105"/>
      <c r="L94" s="105" t="s">
        <v>1181</v>
      </c>
      <c r="M94" s="105" t="s">
        <v>1182</v>
      </c>
      <c r="N94" s="106">
        <v>27861</v>
      </c>
      <c r="O94" s="119" t="s">
        <v>1150</v>
      </c>
      <c r="P94" s="105" t="s">
        <v>1183</v>
      </c>
      <c r="Q94" s="105" t="s">
        <v>1184</v>
      </c>
      <c r="R94" s="106">
        <v>44375</v>
      </c>
      <c r="S94" s="105" t="s">
        <v>1185</v>
      </c>
      <c r="T94" s="105" t="s">
        <v>1186</v>
      </c>
      <c r="U94" s="107" t="s">
        <v>1187</v>
      </c>
      <c r="V94" s="108">
        <v>45668</v>
      </c>
      <c r="W94">
        <v>3800405138</v>
      </c>
      <c r="X94" s="105" t="s">
        <v>1188</v>
      </c>
      <c r="Y94" s="109">
        <v>45861</v>
      </c>
      <c r="AB94" s="116" t="str">
        <f t="shared" si="5"/>
        <v>CÔNG TY CỔ PHẦN PHÁT TRIỂN HẠ TẦNG KỸ THUẬT BECAMEX - BÌNH PHƯỚC</v>
      </c>
      <c r="AC94" s="116" t="str">
        <f t="shared" si="6"/>
        <v>Căn 15 lô AM-16</v>
      </c>
      <c r="AD94" s="120">
        <f t="shared" si="7"/>
        <v>146</v>
      </c>
      <c r="AE94" s="121"/>
      <c r="AF94" s="113" t="s">
        <v>210</v>
      </c>
      <c r="AG94" s="111" t="s">
        <v>65</v>
      </c>
      <c r="AH94" s="111" t="s">
        <v>921</v>
      </c>
      <c r="AI94" s="104">
        <v>93</v>
      </c>
      <c r="AJ94" s="136"/>
    </row>
    <row r="95" spans="1:36" ht="18.75" x14ac:dyDescent="0.25">
      <c r="A95" s="105" t="s">
        <v>1177</v>
      </c>
      <c r="B95" s="112" t="s">
        <v>606</v>
      </c>
      <c r="C95" s="112" t="s">
        <v>606</v>
      </c>
      <c r="D95" s="105" t="s">
        <v>1455</v>
      </c>
      <c r="E95" s="105" t="s">
        <v>65</v>
      </c>
      <c r="F95" s="105" t="s">
        <v>1456</v>
      </c>
      <c r="G95" s="105" t="s">
        <v>1456</v>
      </c>
      <c r="H95" s="105" t="s">
        <v>1457</v>
      </c>
      <c r="I95" s="105" t="s">
        <v>1192</v>
      </c>
      <c r="J95" s="106">
        <v>45549</v>
      </c>
      <c r="K95" s="105"/>
      <c r="L95" s="105" t="s">
        <v>1181</v>
      </c>
      <c r="M95" s="105" t="s">
        <v>1182</v>
      </c>
      <c r="N95" s="106">
        <v>27861</v>
      </c>
      <c r="O95" s="119" t="s">
        <v>1150</v>
      </c>
      <c r="P95" s="105" t="s">
        <v>1183</v>
      </c>
      <c r="Q95" s="105" t="s">
        <v>1184</v>
      </c>
      <c r="R95" s="106">
        <v>44375</v>
      </c>
      <c r="S95" s="105" t="s">
        <v>1185</v>
      </c>
      <c r="T95" s="105" t="s">
        <v>1186</v>
      </c>
      <c r="U95" s="107" t="s">
        <v>1187</v>
      </c>
      <c r="V95" s="108">
        <v>45668</v>
      </c>
      <c r="W95">
        <v>3800405138</v>
      </c>
      <c r="X95" s="105" t="s">
        <v>1188</v>
      </c>
      <c r="Y95" s="109">
        <v>45861</v>
      </c>
      <c r="AB95" s="116" t="str">
        <f t="shared" si="5"/>
        <v>CÔNG TY CỔ PHẦN PHÁT TRIỂN HẠ TẦNG KỸ THUẬT BECAMEX - BÌNH PHƯỚC</v>
      </c>
      <c r="AC95" s="116" t="str">
        <f t="shared" si="6"/>
        <v>Căn 64 lô AM-16</v>
      </c>
      <c r="AD95" s="120">
        <f t="shared" si="7"/>
        <v>195</v>
      </c>
      <c r="AE95" s="121"/>
      <c r="AF95" s="113" t="s">
        <v>211</v>
      </c>
      <c r="AG95" s="111" t="s">
        <v>65</v>
      </c>
      <c r="AH95" s="111" t="s">
        <v>922</v>
      </c>
      <c r="AI95" s="104">
        <v>94</v>
      </c>
      <c r="AJ95" s="136"/>
    </row>
    <row r="96" spans="1:36" ht="18.75" x14ac:dyDescent="0.25">
      <c r="A96" s="105" t="s">
        <v>1177</v>
      </c>
      <c r="B96" s="112" t="s">
        <v>115</v>
      </c>
      <c r="C96" s="112" t="s">
        <v>115</v>
      </c>
      <c r="D96" s="105" t="s">
        <v>1458</v>
      </c>
      <c r="E96" s="105" t="s">
        <v>145</v>
      </c>
      <c r="F96" s="105" t="s">
        <v>1203</v>
      </c>
      <c r="G96" s="105" t="s">
        <v>1203</v>
      </c>
      <c r="H96" s="105" t="s">
        <v>1459</v>
      </c>
      <c r="I96" s="105" t="s">
        <v>1205</v>
      </c>
      <c r="J96" s="106">
        <v>45092</v>
      </c>
      <c r="K96" s="105"/>
      <c r="L96" s="105" t="s">
        <v>1181</v>
      </c>
      <c r="M96" s="105" t="s">
        <v>1182</v>
      </c>
      <c r="N96" s="106">
        <v>27861</v>
      </c>
      <c r="O96" s="119" t="s">
        <v>1150</v>
      </c>
      <c r="P96" s="105" t="s">
        <v>1183</v>
      </c>
      <c r="Q96" s="105" t="s">
        <v>1184</v>
      </c>
      <c r="R96" s="106">
        <v>44375</v>
      </c>
      <c r="S96" s="105" t="s">
        <v>1185</v>
      </c>
      <c r="T96" s="105" t="s">
        <v>1186</v>
      </c>
      <c r="U96" s="107" t="s">
        <v>1187</v>
      </c>
      <c r="V96" s="108">
        <v>45668</v>
      </c>
      <c r="W96">
        <v>3800405138</v>
      </c>
      <c r="X96" s="105" t="s">
        <v>1188</v>
      </c>
      <c r="Y96" s="109">
        <v>45861</v>
      </c>
      <c r="AB96" s="116" t="str">
        <f t="shared" si="5"/>
        <v>CÔNG TY CỔ PHẦN PHÁT TRIỂN HẠ TẦNG KỸ THUẬT BECAMEX-BÌNH PHƯỚC(57 Lô TDC-31)</v>
      </c>
      <c r="AC96" s="116" t="str">
        <f t="shared" si="6"/>
        <v>Căn 57 lô TĐC-31</v>
      </c>
      <c r="AD96" s="120">
        <f t="shared" si="7"/>
        <v>92</v>
      </c>
      <c r="AE96" s="121"/>
      <c r="AF96" s="113" t="s">
        <v>212</v>
      </c>
      <c r="AG96" s="111" t="s">
        <v>65</v>
      </c>
      <c r="AH96" s="111" t="s">
        <v>923</v>
      </c>
      <c r="AI96" s="104">
        <v>95</v>
      </c>
      <c r="AJ96" s="136"/>
    </row>
    <row r="97" spans="1:36" ht="18.75" x14ac:dyDescent="0.25">
      <c r="A97" s="105" t="s">
        <v>1177</v>
      </c>
      <c r="B97" s="112" t="s">
        <v>231</v>
      </c>
      <c r="C97" s="112" t="s">
        <v>231</v>
      </c>
      <c r="D97" s="105" t="s">
        <v>1460</v>
      </c>
      <c r="E97" s="105" t="s">
        <v>65</v>
      </c>
      <c r="F97" s="105" t="s">
        <v>1461</v>
      </c>
      <c r="G97" s="105" t="s">
        <v>1461</v>
      </c>
      <c r="H97" s="105" t="s">
        <v>256</v>
      </c>
      <c r="I97" s="105" t="s">
        <v>1180</v>
      </c>
      <c r="J97" s="106">
        <v>45511</v>
      </c>
      <c r="K97" s="105"/>
      <c r="L97" s="105" t="s">
        <v>1181</v>
      </c>
      <c r="M97" s="105" t="s">
        <v>1182</v>
      </c>
      <c r="N97" s="106">
        <v>27861</v>
      </c>
      <c r="O97" s="119" t="s">
        <v>1150</v>
      </c>
      <c r="P97" s="105" t="s">
        <v>1183</v>
      </c>
      <c r="Q97" s="105" t="s">
        <v>1184</v>
      </c>
      <c r="R97" s="106">
        <v>44375</v>
      </c>
      <c r="S97" s="105" t="s">
        <v>1185</v>
      </c>
      <c r="T97" s="105" t="s">
        <v>1186</v>
      </c>
      <c r="U97" s="107" t="s">
        <v>1187</v>
      </c>
      <c r="V97" s="108">
        <v>45668</v>
      </c>
      <c r="W97">
        <v>3800405138</v>
      </c>
      <c r="X97" s="105" t="s">
        <v>1188</v>
      </c>
      <c r="Y97" s="109">
        <v>45861</v>
      </c>
      <c r="AB97" s="116" t="str">
        <f t="shared" si="5"/>
        <v>CÔNG TY CỔ PHẦN PHÁT TRIỂN HẠ TẦNG KỸ THUẬT BECAMEX - BÌNH PHƯỚC</v>
      </c>
      <c r="AC97" s="116" t="str">
        <f t="shared" si="6"/>
        <v>Căn 23 lô TĐC-44</v>
      </c>
      <c r="AD97" s="120">
        <f t="shared" si="7"/>
        <v>114</v>
      </c>
      <c r="AE97" s="121"/>
      <c r="AF97" s="113" t="s">
        <v>213</v>
      </c>
      <c r="AG97" s="111" t="s">
        <v>65</v>
      </c>
      <c r="AH97" s="111" t="s">
        <v>924</v>
      </c>
      <c r="AI97" s="104">
        <v>96</v>
      </c>
      <c r="AJ97" s="136"/>
    </row>
    <row r="98" spans="1:36" ht="18.75" x14ac:dyDescent="0.25">
      <c r="A98" s="105" t="s">
        <v>1177</v>
      </c>
      <c r="B98" s="112" t="s">
        <v>155</v>
      </c>
      <c r="C98" s="112" t="s">
        <v>155</v>
      </c>
      <c r="D98" s="105" t="s">
        <v>1462</v>
      </c>
      <c r="E98" s="105" t="s">
        <v>1463</v>
      </c>
      <c r="F98" s="105" t="s">
        <v>1464</v>
      </c>
      <c r="G98" s="105" t="s">
        <v>1464</v>
      </c>
      <c r="H98" s="105" t="s">
        <v>1465</v>
      </c>
      <c r="I98" s="105" t="s">
        <v>1205</v>
      </c>
      <c r="J98" s="106">
        <v>44519</v>
      </c>
      <c r="K98" s="105"/>
      <c r="L98" s="105" t="s">
        <v>1181</v>
      </c>
      <c r="M98" s="105" t="s">
        <v>1182</v>
      </c>
      <c r="N98" s="106">
        <v>27861</v>
      </c>
      <c r="O98" s="119" t="s">
        <v>1150</v>
      </c>
      <c r="P98" s="105" t="s">
        <v>1183</v>
      </c>
      <c r="Q98" s="105" t="s">
        <v>1184</v>
      </c>
      <c r="R98" s="106">
        <v>44375</v>
      </c>
      <c r="S98" s="105" t="s">
        <v>1185</v>
      </c>
      <c r="T98" s="105" t="s">
        <v>1186</v>
      </c>
      <c r="U98" s="107" t="s">
        <v>1187</v>
      </c>
      <c r="V98" s="108">
        <v>45668</v>
      </c>
      <c r="W98">
        <v>3800405138</v>
      </c>
      <c r="X98" s="105" t="s">
        <v>1188</v>
      </c>
      <c r="Y98" s="109">
        <v>45861</v>
      </c>
      <c r="AB98" s="116" t="str">
        <f t="shared" ref="AB98:AB129" si="8">VLOOKUP(B98,$AF$2:$AJ$303,2,0)</f>
        <v>CÔNG TY CỔ PHẦN PHÁT TRIỂN HẠ TẦNG KỸ THUẬT BECAMEX - BÌNH PHƯỚC</v>
      </c>
      <c r="AC98" s="116" t="str">
        <f t="shared" ref="AC98:AC129" si="9">VLOOKUP(C98,$AF$2:$AJ$303,3,0)</f>
        <v>Căn 7 lô TĐC-31</v>
      </c>
      <c r="AD98" s="120">
        <f t="shared" si="7"/>
        <v>46</v>
      </c>
      <c r="AE98" s="121"/>
      <c r="AF98" s="113" t="s">
        <v>214</v>
      </c>
      <c r="AG98" s="111" t="s">
        <v>65</v>
      </c>
      <c r="AH98" s="111" t="s">
        <v>925</v>
      </c>
      <c r="AI98" s="104">
        <v>97</v>
      </c>
      <c r="AJ98" s="136"/>
    </row>
    <row r="99" spans="1:36" ht="18.75" x14ac:dyDescent="0.25">
      <c r="A99" s="105" t="s">
        <v>1177</v>
      </c>
      <c r="B99" s="112" t="s">
        <v>349</v>
      </c>
      <c r="C99" s="112" t="s">
        <v>349</v>
      </c>
      <c r="D99" s="105" t="s">
        <v>1466</v>
      </c>
      <c r="E99" s="105" t="s">
        <v>65</v>
      </c>
      <c r="F99" s="105" t="s">
        <v>1467</v>
      </c>
      <c r="G99" s="105" t="s">
        <v>1467</v>
      </c>
      <c r="H99" s="105" t="s">
        <v>1468</v>
      </c>
      <c r="I99" s="105" t="s">
        <v>1192</v>
      </c>
      <c r="J99" s="106">
        <v>45551</v>
      </c>
      <c r="K99" s="105"/>
      <c r="L99" s="105" t="s">
        <v>1181</v>
      </c>
      <c r="M99" s="105" t="s">
        <v>1182</v>
      </c>
      <c r="N99" s="106">
        <v>27861</v>
      </c>
      <c r="O99" s="119" t="s">
        <v>1150</v>
      </c>
      <c r="P99" s="105" t="s">
        <v>1183</v>
      </c>
      <c r="Q99" s="105" t="s">
        <v>1184</v>
      </c>
      <c r="R99" s="106">
        <v>44375</v>
      </c>
      <c r="S99" s="105" t="s">
        <v>1185</v>
      </c>
      <c r="T99" s="105" t="s">
        <v>1186</v>
      </c>
      <c r="U99" s="107" t="s">
        <v>1187</v>
      </c>
      <c r="V99" s="108">
        <v>45668</v>
      </c>
      <c r="W99">
        <v>3800405138</v>
      </c>
      <c r="X99" s="105" t="s">
        <v>1188</v>
      </c>
      <c r="Y99" s="109">
        <v>45861</v>
      </c>
      <c r="AB99" s="116" t="str">
        <f t="shared" si="8"/>
        <v>CÔNG TY CỔ PHẦN PHÁT TRIỂN HẠ TẦNG KỸ THUẬT BECAMEX - BÌNH PHƯỚC</v>
      </c>
      <c r="AC99" s="116" t="str">
        <f t="shared" si="9"/>
        <v>Căn 13 lô AM-16</v>
      </c>
      <c r="AD99" s="120">
        <f t="shared" si="7"/>
        <v>144</v>
      </c>
      <c r="AE99" s="121"/>
      <c r="AF99" s="113" t="s">
        <v>215</v>
      </c>
      <c r="AG99" s="111" t="s">
        <v>65</v>
      </c>
      <c r="AH99" s="111" t="s">
        <v>926</v>
      </c>
      <c r="AI99" s="104">
        <v>98</v>
      </c>
      <c r="AJ99" s="136"/>
    </row>
    <row r="100" spans="1:36" ht="18.75" x14ac:dyDescent="0.25">
      <c r="A100" s="105" t="s">
        <v>1177</v>
      </c>
      <c r="B100" s="112" t="s">
        <v>621</v>
      </c>
      <c r="C100" s="112" t="s">
        <v>621</v>
      </c>
      <c r="D100" s="105" t="s">
        <v>1469</v>
      </c>
      <c r="E100" s="105" t="s">
        <v>65</v>
      </c>
      <c r="F100" s="105" t="s">
        <v>1470</v>
      </c>
      <c r="G100" s="105" t="s">
        <v>1470</v>
      </c>
      <c r="H100" s="105" t="s">
        <v>1471</v>
      </c>
      <c r="I100" s="105" t="s">
        <v>1192</v>
      </c>
      <c r="J100" s="106">
        <v>45549</v>
      </c>
      <c r="K100" s="105"/>
      <c r="L100" s="105" t="s">
        <v>1181</v>
      </c>
      <c r="M100" s="105" t="s">
        <v>1182</v>
      </c>
      <c r="N100" s="106">
        <v>27861</v>
      </c>
      <c r="O100" s="119" t="s">
        <v>1150</v>
      </c>
      <c r="P100" s="105" t="s">
        <v>1183</v>
      </c>
      <c r="Q100" s="105" t="s">
        <v>1184</v>
      </c>
      <c r="R100" s="106">
        <v>44375</v>
      </c>
      <c r="S100" s="105" t="s">
        <v>1185</v>
      </c>
      <c r="T100" s="105" t="s">
        <v>1186</v>
      </c>
      <c r="U100" s="107" t="s">
        <v>1187</v>
      </c>
      <c r="V100" s="108">
        <v>45668</v>
      </c>
      <c r="W100">
        <v>3800405138</v>
      </c>
      <c r="X100" s="105" t="s">
        <v>1188</v>
      </c>
      <c r="Y100" s="109">
        <v>45861</v>
      </c>
      <c r="AB100" s="116" t="str">
        <f t="shared" si="8"/>
        <v>CÔNG TY CỔ PHẦN PHÁT TRIỂN HẠ TẦNG KỸ THUẬT BECAMEX - BÌNH PHƯỚC</v>
      </c>
      <c r="AC100" s="116" t="str">
        <f t="shared" si="9"/>
        <v>Căn 72 lô AM-16</v>
      </c>
      <c r="AD100" s="120">
        <f t="shared" si="7"/>
        <v>203</v>
      </c>
      <c r="AE100" s="121"/>
      <c r="AF100" s="113" t="s">
        <v>216</v>
      </c>
      <c r="AG100" s="111" t="s">
        <v>65</v>
      </c>
      <c r="AH100" s="111" t="s">
        <v>927</v>
      </c>
      <c r="AI100" s="104">
        <v>99</v>
      </c>
      <c r="AJ100" s="136"/>
    </row>
    <row r="101" spans="1:36" ht="18.75" x14ac:dyDescent="0.25">
      <c r="A101" s="105" t="s">
        <v>1177</v>
      </c>
      <c r="B101" s="112" t="s">
        <v>114</v>
      </c>
      <c r="C101" s="112" t="s">
        <v>114</v>
      </c>
      <c r="D101" s="105" t="s">
        <v>1472</v>
      </c>
      <c r="E101" s="105" t="s">
        <v>144</v>
      </c>
      <c r="F101" s="105" t="s">
        <v>1203</v>
      </c>
      <c r="G101" s="105" t="s">
        <v>1203</v>
      </c>
      <c r="H101" s="105" t="s">
        <v>1473</v>
      </c>
      <c r="I101" s="105" t="s">
        <v>1205</v>
      </c>
      <c r="J101" s="106">
        <v>45092</v>
      </c>
      <c r="K101" s="105"/>
      <c r="L101" s="105" t="s">
        <v>1181</v>
      </c>
      <c r="M101" s="105" t="s">
        <v>1182</v>
      </c>
      <c r="N101" s="106">
        <v>27861</v>
      </c>
      <c r="O101" s="119" t="s">
        <v>1150</v>
      </c>
      <c r="P101" s="105" t="s">
        <v>1183</v>
      </c>
      <c r="Q101" s="105" t="s">
        <v>1184</v>
      </c>
      <c r="R101" s="106">
        <v>44375</v>
      </c>
      <c r="S101" s="105" t="s">
        <v>1185</v>
      </c>
      <c r="T101" s="105" t="s">
        <v>1186</v>
      </c>
      <c r="U101" s="107" t="s">
        <v>1187</v>
      </c>
      <c r="V101" s="108">
        <v>45668</v>
      </c>
      <c r="W101">
        <v>3800405138</v>
      </c>
      <c r="X101" s="105" t="s">
        <v>1188</v>
      </c>
      <c r="Y101" s="109">
        <v>45861</v>
      </c>
      <c r="AB101" s="116" t="str">
        <f t="shared" si="8"/>
        <v>CÔNG TY CỔ PHẦN PHÁT TRIỂN HẠ TẦNG KỸ THUẬT BECAMEX-BÌNH PHƯỚC(56 Lô TDC-31)</v>
      </c>
      <c r="AC101" s="116" t="str">
        <f t="shared" si="9"/>
        <v>Căn 56 lô TĐC-31</v>
      </c>
      <c r="AD101" s="120">
        <f t="shared" si="7"/>
        <v>91</v>
      </c>
      <c r="AE101" s="121"/>
      <c r="AF101" s="113" t="s">
        <v>217</v>
      </c>
      <c r="AG101" s="111" t="s">
        <v>65</v>
      </c>
      <c r="AH101" s="111" t="s">
        <v>928</v>
      </c>
      <c r="AI101" s="104">
        <v>100</v>
      </c>
      <c r="AJ101" s="136"/>
    </row>
    <row r="102" spans="1:36" ht="18.75" x14ac:dyDescent="0.25">
      <c r="A102" s="105" t="s">
        <v>1177</v>
      </c>
      <c r="B102" s="112" t="s">
        <v>357</v>
      </c>
      <c r="C102" s="112" t="s">
        <v>357</v>
      </c>
      <c r="D102" s="105" t="s">
        <v>1474</v>
      </c>
      <c r="E102" s="105" t="s">
        <v>65</v>
      </c>
      <c r="F102" s="105" t="s">
        <v>1475</v>
      </c>
      <c r="G102" s="105" t="s">
        <v>1475</v>
      </c>
      <c r="H102" s="105" t="s">
        <v>1476</v>
      </c>
      <c r="I102" s="105" t="s">
        <v>1192</v>
      </c>
      <c r="J102" s="106">
        <v>45551</v>
      </c>
      <c r="K102" s="105"/>
      <c r="L102" s="105" t="s">
        <v>1181</v>
      </c>
      <c r="M102" s="105" t="s">
        <v>1182</v>
      </c>
      <c r="N102" s="106">
        <v>27861</v>
      </c>
      <c r="O102" s="119" t="s">
        <v>1150</v>
      </c>
      <c r="P102" s="105" t="s">
        <v>1183</v>
      </c>
      <c r="Q102" s="105" t="s">
        <v>1184</v>
      </c>
      <c r="R102" s="106">
        <v>44375</v>
      </c>
      <c r="S102" s="105" t="s">
        <v>1185</v>
      </c>
      <c r="T102" s="105" t="s">
        <v>1186</v>
      </c>
      <c r="U102" s="107" t="s">
        <v>1187</v>
      </c>
      <c r="V102" s="108">
        <v>45668</v>
      </c>
      <c r="W102">
        <v>3800405138</v>
      </c>
      <c r="X102" s="105" t="s">
        <v>1188</v>
      </c>
      <c r="Y102" s="109">
        <v>45861</v>
      </c>
      <c r="AB102" s="116" t="str">
        <f t="shared" si="8"/>
        <v>CÔNG TY CỔ PHẦN PHÁT TRIỂN HẠ TẦNG KỸ THUẬT BECAMEX - BÌNH PHƯỚC</v>
      </c>
      <c r="AC102" s="116" t="str">
        <f t="shared" si="9"/>
        <v>Căn 05 lô AM-16</v>
      </c>
      <c r="AD102" s="120">
        <f t="shared" si="7"/>
        <v>136</v>
      </c>
      <c r="AE102" s="121"/>
      <c r="AF102" s="113" t="s">
        <v>218</v>
      </c>
      <c r="AG102" s="111" t="s">
        <v>65</v>
      </c>
      <c r="AH102" s="111" t="s">
        <v>929</v>
      </c>
      <c r="AI102" s="104">
        <v>101</v>
      </c>
      <c r="AJ102" s="136"/>
    </row>
    <row r="103" spans="1:36" ht="18.75" x14ac:dyDescent="0.25">
      <c r="A103" s="105" t="s">
        <v>1177</v>
      </c>
      <c r="B103" s="112" t="s">
        <v>637</v>
      </c>
      <c r="C103" s="112" t="s">
        <v>637</v>
      </c>
      <c r="D103" s="105" t="s">
        <v>1477</v>
      </c>
      <c r="E103" s="105" t="s">
        <v>65</v>
      </c>
      <c r="F103" s="105" t="s">
        <v>1478</v>
      </c>
      <c r="G103" s="105" t="s">
        <v>1478</v>
      </c>
      <c r="H103" s="105" t="s">
        <v>1479</v>
      </c>
      <c r="I103" s="105" t="s">
        <v>1192</v>
      </c>
      <c r="J103" s="106">
        <v>45549</v>
      </c>
      <c r="K103" s="105"/>
      <c r="L103" s="105" t="s">
        <v>1181</v>
      </c>
      <c r="M103" s="105" t="s">
        <v>1182</v>
      </c>
      <c r="N103" s="106">
        <v>27861</v>
      </c>
      <c r="O103" s="119" t="s">
        <v>1150</v>
      </c>
      <c r="P103" s="105" t="s">
        <v>1183</v>
      </c>
      <c r="Q103" s="105" t="s">
        <v>1184</v>
      </c>
      <c r="R103" s="106">
        <v>44375</v>
      </c>
      <c r="S103" s="105" t="s">
        <v>1185</v>
      </c>
      <c r="T103" s="105" t="s">
        <v>1186</v>
      </c>
      <c r="U103" s="107" t="s">
        <v>1187</v>
      </c>
      <c r="V103" s="108">
        <v>45668</v>
      </c>
      <c r="W103">
        <v>3800405138</v>
      </c>
      <c r="X103" s="105" t="s">
        <v>1188</v>
      </c>
      <c r="Y103" s="109">
        <v>45861</v>
      </c>
      <c r="AB103" s="116" t="str">
        <f t="shared" si="8"/>
        <v>CÔNG TY CỔ PHẦN PHÁT TRIỂN HẠ TẦNG KỸ THUẬT BECAMEX - BÌNH PHƯỚC</v>
      </c>
      <c r="AC103" s="116" t="str">
        <f t="shared" si="9"/>
        <v>Căn 38 lô AM-16</v>
      </c>
      <c r="AD103" s="120">
        <f t="shared" si="7"/>
        <v>169</v>
      </c>
      <c r="AE103" s="121"/>
      <c r="AF103" s="113" t="s">
        <v>219</v>
      </c>
      <c r="AG103" s="111" t="s">
        <v>65</v>
      </c>
      <c r="AH103" s="111" t="s">
        <v>930</v>
      </c>
      <c r="AI103" s="104">
        <v>102</v>
      </c>
      <c r="AJ103" s="136"/>
    </row>
    <row r="104" spans="1:36" ht="18.75" x14ac:dyDescent="0.25">
      <c r="A104" s="105" t="s">
        <v>1177</v>
      </c>
      <c r="B104" s="112" t="s">
        <v>102</v>
      </c>
      <c r="C104" s="112" t="s">
        <v>102</v>
      </c>
      <c r="D104" s="105" t="s">
        <v>1480</v>
      </c>
      <c r="E104" s="105" t="s">
        <v>132</v>
      </c>
      <c r="F104" s="105" t="s">
        <v>1203</v>
      </c>
      <c r="G104" s="105" t="s">
        <v>1203</v>
      </c>
      <c r="H104" s="105" t="s">
        <v>1481</v>
      </c>
      <c r="I104" s="105" t="s">
        <v>1205</v>
      </c>
      <c r="J104" s="106">
        <v>45091</v>
      </c>
      <c r="K104" s="105"/>
      <c r="L104" s="105" t="s">
        <v>1181</v>
      </c>
      <c r="M104" s="105" t="s">
        <v>1182</v>
      </c>
      <c r="N104" s="106">
        <v>27861</v>
      </c>
      <c r="O104" s="119" t="s">
        <v>1150</v>
      </c>
      <c r="P104" s="105" t="s">
        <v>1183</v>
      </c>
      <c r="Q104" s="105" t="s">
        <v>1184</v>
      </c>
      <c r="R104" s="106">
        <v>44375</v>
      </c>
      <c r="S104" s="105" t="s">
        <v>1185</v>
      </c>
      <c r="T104" s="105" t="s">
        <v>1186</v>
      </c>
      <c r="U104" s="107" t="s">
        <v>1187</v>
      </c>
      <c r="V104" s="108">
        <v>45668</v>
      </c>
      <c r="W104">
        <v>3800405138</v>
      </c>
      <c r="X104" s="105" t="s">
        <v>1188</v>
      </c>
      <c r="Y104" s="109">
        <v>45861</v>
      </c>
      <c r="AB104" s="116" t="str">
        <f t="shared" si="8"/>
        <v>CÔNG TY CỔ PHẦN PHÁT TRIỂN HẠ TẦNG KỸ THUẬT BECAMEX-BÌNH PHƯỚC(44 Lô TDC-31)</v>
      </c>
      <c r="AC104" s="116" t="str">
        <f t="shared" si="9"/>
        <v>Căn 44 lô TĐC-31</v>
      </c>
      <c r="AD104" s="120">
        <f t="shared" si="7"/>
        <v>79</v>
      </c>
      <c r="AE104" s="121"/>
      <c r="AF104" s="113" t="s">
        <v>220</v>
      </c>
      <c r="AG104" s="111" t="s">
        <v>65</v>
      </c>
      <c r="AH104" s="111" t="s">
        <v>931</v>
      </c>
      <c r="AI104" s="104">
        <v>103</v>
      </c>
      <c r="AJ104" s="136"/>
    </row>
    <row r="105" spans="1:36" ht="18.75" x14ac:dyDescent="0.25">
      <c r="A105" s="105" t="s">
        <v>1177</v>
      </c>
      <c r="B105" s="112" t="s">
        <v>165</v>
      </c>
      <c r="C105" s="112" t="s">
        <v>165</v>
      </c>
      <c r="D105" s="105" t="s">
        <v>1482</v>
      </c>
      <c r="E105" s="105" t="s">
        <v>1483</v>
      </c>
      <c r="F105" s="105" t="s">
        <v>1484</v>
      </c>
      <c r="G105" s="105" t="s">
        <v>1484</v>
      </c>
      <c r="H105" s="105" t="s">
        <v>1485</v>
      </c>
      <c r="I105" s="105" t="s">
        <v>1205</v>
      </c>
      <c r="J105" s="106">
        <v>44519</v>
      </c>
      <c r="K105" s="105"/>
      <c r="L105" s="105" t="s">
        <v>1181</v>
      </c>
      <c r="M105" s="105" t="s">
        <v>1182</v>
      </c>
      <c r="N105" s="106">
        <v>27861</v>
      </c>
      <c r="O105" s="119" t="s">
        <v>1150</v>
      </c>
      <c r="P105" s="105" t="s">
        <v>1183</v>
      </c>
      <c r="Q105" s="105" t="s">
        <v>1184</v>
      </c>
      <c r="R105" s="106">
        <v>44375</v>
      </c>
      <c r="S105" s="105" t="s">
        <v>1185</v>
      </c>
      <c r="T105" s="105" t="s">
        <v>1186</v>
      </c>
      <c r="U105" s="107" t="s">
        <v>1187</v>
      </c>
      <c r="V105" s="108">
        <v>45668</v>
      </c>
      <c r="W105">
        <v>3800405138</v>
      </c>
      <c r="X105" s="105" t="s">
        <v>1188</v>
      </c>
      <c r="Y105" s="109">
        <v>45861</v>
      </c>
      <c r="AB105" s="116" t="str">
        <f t="shared" si="8"/>
        <v>CÔNG TY CỔ PHẦN PHÁT TRIỂN HẠ TẦNG KỸ THUẬT BECAMEX - BÌNH PHƯỚC</v>
      </c>
      <c r="AC105" s="116" t="str">
        <f t="shared" si="9"/>
        <v>Căn 17 lô TĐC-31</v>
      </c>
      <c r="AD105" s="120">
        <f t="shared" si="7"/>
        <v>56</v>
      </c>
      <c r="AE105" s="121"/>
      <c r="AF105" s="113" t="s">
        <v>221</v>
      </c>
      <c r="AG105" s="111" t="s">
        <v>65</v>
      </c>
      <c r="AH105" s="111" t="s">
        <v>932</v>
      </c>
      <c r="AI105" s="104">
        <v>104</v>
      </c>
      <c r="AJ105" s="136"/>
    </row>
    <row r="106" spans="1:36" ht="18.75" x14ac:dyDescent="0.25">
      <c r="A106" s="105" t="s">
        <v>1177</v>
      </c>
      <c r="B106" s="112" t="s">
        <v>338</v>
      </c>
      <c r="C106" s="112" t="s">
        <v>338</v>
      </c>
      <c r="D106" s="105" t="s">
        <v>1486</v>
      </c>
      <c r="E106" s="105" t="s">
        <v>65</v>
      </c>
      <c r="F106" s="105" t="s">
        <v>1487</v>
      </c>
      <c r="G106" s="105" t="s">
        <v>1487</v>
      </c>
      <c r="H106" s="105" t="s">
        <v>1488</v>
      </c>
      <c r="I106" s="105" t="s">
        <v>1192</v>
      </c>
      <c r="J106" s="106">
        <v>45551</v>
      </c>
      <c r="K106" s="105"/>
      <c r="L106" s="105" t="s">
        <v>1181</v>
      </c>
      <c r="M106" s="105" t="s">
        <v>1182</v>
      </c>
      <c r="N106" s="106">
        <v>27861</v>
      </c>
      <c r="O106" s="119" t="s">
        <v>1150</v>
      </c>
      <c r="P106" s="105" t="s">
        <v>1183</v>
      </c>
      <c r="Q106" s="105" t="s">
        <v>1184</v>
      </c>
      <c r="R106" s="106">
        <v>44375</v>
      </c>
      <c r="S106" s="105" t="s">
        <v>1185</v>
      </c>
      <c r="T106" s="105" t="s">
        <v>1186</v>
      </c>
      <c r="U106" s="107" t="s">
        <v>1187</v>
      </c>
      <c r="V106" s="108">
        <v>45668</v>
      </c>
      <c r="W106">
        <v>3800405138</v>
      </c>
      <c r="X106" s="105" t="s">
        <v>1188</v>
      </c>
      <c r="Y106" s="109">
        <v>45861</v>
      </c>
      <c r="AB106" s="116" t="str">
        <f t="shared" si="8"/>
        <v>CÔNG TY CỔ PHẦN PHÁT TRIỂN HẠ TẦNG KỸ THUẬT BECAMEX - BÌNH PHƯỚC</v>
      </c>
      <c r="AC106" s="116" t="str">
        <f t="shared" si="9"/>
        <v>Căn 44 lô AM-16</v>
      </c>
      <c r="AD106" s="120">
        <f t="shared" si="7"/>
        <v>175</v>
      </c>
      <c r="AE106" s="121"/>
      <c r="AF106" s="113" t="s">
        <v>222</v>
      </c>
      <c r="AG106" s="111" t="s">
        <v>65</v>
      </c>
      <c r="AH106" s="111" t="s">
        <v>933</v>
      </c>
      <c r="AI106" s="104">
        <v>105</v>
      </c>
      <c r="AJ106" s="136"/>
    </row>
    <row r="107" spans="1:36" ht="18.75" x14ac:dyDescent="0.25">
      <c r="A107" s="105" t="s">
        <v>1177</v>
      </c>
      <c r="B107" s="112" t="s">
        <v>94</v>
      </c>
      <c r="C107" s="112" t="s">
        <v>94</v>
      </c>
      <c r="D107" s="105" t="s">
        <v>1489</v>
      </c>
      <c r="E107" s="105" t="s">
        <v>124</v>
      </c>
      <c r="F107" s="105" t="s">
        <v>1203</v>
      </c>
      <c r="G107" s="105" t="s">
        <v>1203</v>
      </c>
      <c r="H107" s="105" t="s">
        <v>1490</v>
      </c>
      <c r="I107" s="105" t="s">
        <v>1205</v>
      </c>
      <c r="J107" s="106">
        <v>45090</v>
      </c>
      <c r="K107" s="105"/>
      <c r="L107" s="105" t="s">
        <v>1181</v>
      </c>
      <c r="M107" s="105" t="s">
        <v>1182</v>
      </c>
      <c r="N107" s="106">
        <v>27861</v>
      </c>
      <c r="O107" s="119" t="s">
        <v>1150</v>
      </c>
      <c r="P107" s="105" t="s">
        <v>1183</v>
      </c>
      <c r="Q107" s="105" t="s">
        <v>1184</v>
      </c>
      <c r="R107" s="106">
        <v>44375</v>
      </c>
      <c r="S107" s="105" t="s">
        <v>1185</v>
      </c>
      <c r="T107" s="105" t="s">
        <v>1186</v>
      </c>
      <c r="U107" s="107" t="s">
        <v>1187</v>
      </c>
      <c r="V107" s="108">
        <v>45668</v>
      </c>
      <c r="W107">
        <v>3800405138</v>
      </c>
      <c r="X107" s="105" t="s">
        <v>1188</v>
      </c>
      <c r="Y107" s="109">
        <v>45861</v>
      </c>
      <c r="AB107" s="116" t="str">
        <f t="shared" si="8"/>
        <v>CÔNG TY CỔ PHẦN PHÁT TRIỂN HẠ TẦNG KỸ THUẬT BECAMEX-BÌNH PHƯỚC(34 Lô TDC-31)</v>
      </c>
      <c r="AC107" s="116" t="str">
        <f t="shared" si="9"/>
        <v>Căn 34 lô TĐC-31</v>
      </c>
      <c r="AD107" s="120">
        <f t="shared" si="7"/>
        <v>69</v>
      </c>
      <c r="AE107" s="121"/>
      <c r="AF107" s="113" t="s">
        <v>223</v>
      </c>
      <c r="AG107" s="111" t="s">
        <v>65</v>
      </c>
      <c r="AH107" s="111" t="s">
        <v>934</v>
      </c>
      <c r="AI107" s="104">
        <v>106</v>
      </c>
      <c r="AJ107" s="136"/>
    </row>
    <row r="108" spans="1:36" ht="18.75" x14ac:dyDescent="0.25">
      <c r="A108" s="105" t="s">
        <v>1177</v>
      </c>
      <c r="B108" s="112" t="s">
        <v>291</v>
      </c>
      <c r="C108" s="112" t="s">
        <v>291</v>
      </c>
      <c r="D108" s="105" t="s">
        <v>1491</v>
      </c>
      <c r="E108" s="105" t="s">
        <v>65</v>
      </c>
      <c r="F108" s="105" t="s">
        <v>1492</v>
      </c>
      <c r="G108" s="105" t="s">
        <v>1492</v>
      </c>
      <c r="H108" s="105" t="s">
        <v>1493</v>
      </c>
      <c r="I108" s="105" t="s">
        <v>1192</v>
      </c>
      <c r="J108" s="106">
        <v>45549</v>
      </c>
      <c r="K108" s="105"/>
      <c r="L108" s="105" t="s">
        <v>1181</v>
      </c>
      <c r="M108" s="105" t="s">
        <v>1182</v>
      </c>
      <c r="N108" s="106">
        <v>27861</v>
      </c>
      <c r="O108" s="119" t="s">
        <v>1150</v>
      </c>
      <c r="P108" s="105" t="s">
        <v>1183</v>
      </c>
      <c r="Q108" s="105" t="s">
        <v>1184</v>
      </c>
      <c r="R108" s="106">
        <v>44375</v>
      </c>
      <c r="S108" s="105" t="s">
        <v>1185</v>
      </c>
      <c r="T108" s="105" t="s">
        <v>1186</v>
      </c>
      <c r="U108" s="107" t="s">
        <v>1187</v>
      </c>
      <c r="V108" s="108">
        <v>45668</v>
      </c>
      <c r="W108">
        <v>3800405138</v>
      </c>
      <c r="X108" s="105" t="s">
        <v>1188</v>
      </c>
      <c r="Y108" s="109">
        <v>45861</v>
      </c>
      <c r="AB108" s="116" t="str">
        <f t="shared" si="8"/>
        <v>CÔNG TY CỔ PHẦN PHÁT TRIỂN HẠ TẦNG KỸ THUẬT BECAMEX - BÌNH PHƯỚC</v>
      </c>
      <c r="AC108" s="116" t="str">
        <f t="shared" si="9"/>
        <v>Căn 26 lô AM-16</v>
      </c>
      <c r="AD108" s="120">
        <f t="shared" si="7"/>
        <v>157</v>
      </c>
      <c r="AE108" s="121"/>
      <c r="AF108" s="113" t="s">
        <v>224</v>
      </c>
      <c r="AG108" s="111" t="s">
        <v>65</v>
      </c>
      <c r="AH108" s="111" t="s">
        <v>935</v>
      </c>
      <c r="AI108" s="104">
        <v>107</v>
      </c>
      <c r="AJ108" s="136"/>
    </row>
    <row r="109" spans="1:36" ht="18.75" x14ac:dyDescent="0.25">
      <c r="A109" s="105" t="s">
        <v>1177</v>
      </c>
      <c r="B109" s="112" t="s">
        <v>151</v>
      </c>
      <c r="C109" s="112" t="s">
        <v>151</v>
      </c>
      <c r="D109" s="105" t="s">
        <v>1494</v>
      </c>
      <c r="E109" s="105" t="s">
        <v>1495</v>
      </c>
      <c r="F109" s="105" t="s">
        <v>1496</v>
      </c>
      <c r="G109" s="105" t="s">
        <v>1496</v>
      </c>
      <c r="H109" s="105" t="s">
        <v>1497</v>
      </c>
      <c r="I109" s="105" t="s">
        <v>1205</v>
      </c>
      <c r="J109" s="106">
        <v>44519</v>
      </c>
      <c r="K109" s="105"/>
      <c r="L109" s="105" t="s">
        <v>1181</v>
      </c>
      <c r="M109" s="105" t="s">
        <v>1182</v>
      </c>
      <c r="N109" s="106">
        <v>27861</v>
      </c>
      <c r="O109" s="119" t="s">
        <v>1150</v>
      </c>
      <c r="P109" s="105" t="s">
        <v>1183</v>
      </c>
      <c r="Q109" s="105" t="s">
        <v>1184</v>
      </c>
      <c r="R109" s="106">
        <v>44375</v>
      </c>
      <c r="S109" s="105" t="s">
        <v>1185</v>
      </c>
      <c r="T109" s="105" t="s">
        <v>1186</v>
      </c>
      <c r="U109" s="107" t="s">
        <v>1187</v>
      </c>
      <c r="V109" s="108">
        <v>45668</v>
      </c>
      <c r="W109">
        <v>3800405138</v>
      </c>
      <c r="X109" s="105" t="s">
        <v>1188</v>
      </c>
      <c r="Y109" s="109">
        <v>45861</v>
      </c>
      <c r="AB109" s="116" t="str">
        <f t="shared" si="8"/>
        <v>CÔNG TY CỔ PHẦN PHÁT TRIỂN HẠ TẦNG KỸ THUẬT BECAMEX - BÌNH PHƯỚC</v>
      </c>
      <c r="AC109" s="116" t="str">
        <f t="shared" si="9"/>
        <v>Căn 3 lô TĐC-31</v>
      </c>
      <c r="AD109" s="120">
        <f t="shared" si="7"/>
        <v>42</v>
      </c>
      <c r="AE109" s="121"/>
      <c r="AF109" s="113" t="s">
        <v>225</v>
      </c>
      <c r="AG109" s="111" t="s">
        <v>65</v>
      </c>
      <c r="AH109" s="111" t="s">
        <v>936</v>
      </c>
      <c r="AI109" s="104">
        <v>108</v>
      </c>
      <c r="AJ109" s="136"/>
    </row>
    <row r="110" spans="1:36" ht="18.75" x14ac:dyDescent="0.25">
      <c r="A110" s="105" t="s">
        <v>1177</v>
      </c>
      <c r="B110" s="112" t="s">
        <v>156</v>
      </c>
      <c r="C110" s="112" t="s">
        <v>156</v>
      </c>
      <c r="D110" s="105" t="s">
        <v>1498</v>
      </c>
      <c r="E110" s="105" t="s">
        <v>1499</v>
      </c>
      <c r="F110" s="105" t="s">
        <v>1500</v>
      </c>
      <c r="G110" s="105" t="s">
        <v>1500</v>
      </c>
      <c r="H110" s="105" t="s">
        <v>1501</v>
      </c>
      <c r="I110" s="105" t="s">
        <v>1205</v>
      </c>
      <c r="J110" s="106">
        <v>44519</v>
      </c>
      <c r="K110" s="105"/>
      <c r="L110" s="105" t="s">
        <v>1181</v>
      </c>
      <c r="M110" s="105" t="s">
        <v>1182</v>
      </c>
      <c r="N110" s="106">
        <v>27861</v>
      </c>
      <c r="O110" s="119" t="s">
        <v>1150</v>
      </c>
      <c r="P110" s="105" t="s">
        <v>1183</v>
      </c>
      <c r="Q110" s="105" t="s">
        <v>1184</v>
      </c>
      <c r="R110" s="106">
        <v>44375</v>
      </c>
      <c r="S110" s="105" t="s">
        <v>1185</v>
      </c>
      <c r="T110" s="105" t="s">
        <v>1186</v>
      </c>
      <c r="U110" s="107" t="s">
        <v>1187</v>
      </c>
      <c r="V110" s="108">
        <v>45668</v>
      </c>
      <c r="W110">
        <v>3800405138</v>
      </c>
      <c r="X110" s="105" t="s">
        <v>1188</v>
      </c>
      <c r="Y110" s="109">
        <v>45861</v>
      </c>
      <c r="AB110" s="116" t="str">
        <f t="shared" si="8"/>
        <v>CÔNG TY CỔ PHẦN PHÁT TRIỂN HẠ TẦNG KỸ THUẬT BECAMEX - BÌNH PHƯỚC</v>
      </c>
      <c r="AC110" s="116" t="str">
        <f t="shared" si="9"/>
        <v>Căn 8 lô TĐC-31</v>
      </c>
      <c r="AD110" s="120">
        <f t="shared" si="7"/>
        <v>47</v>
      </c>
      <c r="AE110" s="121"/>
      <c r="AF110" s="113" t="s">
        <v>226</v>
      </c>
      <c r="AG110" s="111" t="s">
        <v>65</v>
      </c>
      <c r="AH110" s="111" t="s">
        <v>937</v>
      </c>
      <c r="AI110" s="104">
        <v>109</v>
      </c>
      <c r="AJ110" s="136"/>
    </row>
    <row r="111" spans="1:36" ht="18.75" x14ac:dyDescent="0.25">
      <c r="A111" s="105" t="s">
        <v>1177</v>
      </c>
      <c r="B111" s="112" t="s">
        <v>604</v>
      </c>
      <c r="C111" s="112" t="s">
        <v>604</v>
      </c>
      <c r="D111" s="105" t="s">
        <v>1502</v>
      </c>
      <c r="E111" s="105" t="s">
        <v>65</v>
      </c>
      <c r="F111" s="105" t="s">
        <v>1503</v>
      </c>
      <c r="G111" s="105" t="s">
        <v>1503</v>
      </c>
      <c r="H111" s="105" t="s">
        <v>1504</v>
      </c>
      <c r="I111" s="105" t="s">
        <v>1192</v>
      </c>
      <c r="J111" s="106">
        <v>45549</v>
      </c>
      <c r="K111" s="105"/>
      <c r="L111" s="105" t="s">
        <v>1181</v>
      </c>
      <c r="M111" s="105" t="s">
        <v>1182</v>
      </c>
      <c r="N111" s="106">
        <v>27861</v>
      </c>
      <c r="O111" s="119" t="s">
        <v>1150</v>
      </c>
      <c r="P111" s="105" t="s">
        <v>1183</v>
      </c>
      <c r="Q111" s="105" t="s">
        <v>1184</v>
      </c>
      <c r="R111" s="106">
        <v>44375</v>
      </c>
      <c r="S111" s="105" t="s">
        <v>1185</v>
      </c>
      <c r="T111" s="105" t="s">
        <v>1186</v>
      </c>
      <c r="U111" s="107" t="s">
        <v>1187</v>
      </c>
      <c r="V111" s="108">
        <v>45668</v>
      </c>
      <c r="W111">
        <v>3800405138</v>
      </c>
      <c r="X111" s="105" t="s">
        <v>1188</v>
      </c>
      <c r="Y111" s="109">
        <v>45861</v>
      </c>
      <c r="AB111" s="116" t="str">
        <f t="shared" si="8"/>
        <v>CÔNG TY CỔ PHẦN PHÁT TRIỂN HẠ TẦNG KỸ THUẬT BECAMEX - BÌNH PHƯỚC</v>
      </c>
      <c r="AC111" s="116" t="str">
        <f t="shared" si="9"/>
        <v>Căn 62 lô AM-16</v>
      </c>
      <c r="AD111" s="120">
        <f t="shared" si="7"/>
        <v>193</v>
      </c>
      <c r="AE111" s="121"/>
      <c r="AF111" s="113" t="s">
        <v>227</v>
      </c>
      <c r="AG111" s="111" t="s">
        <v>65</v>
      </c>
      <c r="AH111" s="111" t="s">
        <v>938</v>
      </c>
      <c r="AI111" s="104">
        <v>110</v>
      </c>
      <c r="AJ111" s="136"/>
    </row>
    <row r="112" spans="1:36" ht="18.75" x14ac:dyDescent="0.25">
      <c r="A112" s="105" t="s">
        <v>1177</v>
      </c>
      <c r="B112" s="112" t="s">
        <v>119</v>
      </c>
      <c r="C112" s="112" t="s">
        <v>119</v>
      </c>
      <c r="D112" s="105" t="s">
        <v>1505</v>
      </c>
      <c r="E112" s="105" t="s">
        <v>149</v>
      </c>
      <c r="F112" s="105" t="s">
        <v>1203</v>
      </c>
      <c r="G112" s="105" t="s">
        <v>1203</v>
      </c>
      <c r="H112" s="105" t="s">
        <v>1506</v>
      </c>
      <c r="I112" s="105" t="s">
        <v>1205</v>
      </c>
      <c r="J112" s="106">
        <v>45092</v>
      </c>
      <c r="K112" s="105"/>
      <c r="L112" s="105" t="s">
        <v>1181</v>
      </c>
      <c r="M112" s="105" t="s">
        <v>1182</v>
      </c>
      <c r="N112" s="106">
        <v>27861</v>
      </c>
      <c r="O112" s="119" t="s">
        <v>1150</v>
      </c>
      <c r="P112" s="105" t="s">
        <v>1183</v>
      </c>
      <c r="Q112" s="105" t="s">
        <v>1184</v>
      </c>
      <c r="R112" s="106">
        <v>44375</v>
      </c>
      <c r="S112" s="105" t="s">
        <v>1185</v>
      </c>
      <c r="T112" s="105" t="s">
        <v>1186</v>
      </c>
      <c r="U112" s="107" t="s">
        <v>1187</v>
      </c>
      <c r="V112" s="108">
        <v>45668</v>
      </c>
      <c r="W112">
        <v>3800405138</v>
      </c>
      <c r="X112" s="105" t="s">
        <v>1188</v>
      </c>
      <c r="Y112" s="109">
        <v>45861</v>
      </c>
      <c r="AB112" s="116" t="str">
        <f t="shared" si="8"/>
        <v>CÔNG TY CỔ PHẦN PHÁT TRIỂN HẠ TẦNG KỸ THUẬT BECAMEX-BÌNH PHƯỚC(43 Lô TDC-31)</v>
      </c>
      <c r="AC112" s="116" t="str">
        <f t="shared" si="9"/>
        <v>Căn 43 lô TĐC-31</v>
      </c>
      <c r="AD112" s="120">
        <f t="shared" si="7"/>
        <v>78</v>
      </c>
      <c r="AE112" s="121"/>
      <c r="AF112" s="113" t="s">
        <v>228</v>
      </c>
      <c r="AG112" s="111" t="s">
        <v>65</v>
      </c>
      <c r="AH112" s="111" t="s">
        <v>939</v>
      </c>
      <c r="AI112" s="104">
        <v>111</v>
      </c>
      <c r="AJ112" s="136"/>
    </row>
    <row r="113" spans="1:36" ht="18.75" x14ac:dyDescent="0.25">
      <c r="A113" s="105" t="s">
        <v>1177</v>
      </c>
      <c r="B113" s="112" t="s">
        <v>227</v>
      </c>
      <c r="C113" s="112" t="s">
        <v>227</v>
      </c>
      <c r="D113" s="105" t="s">
        <v>1507</v>
      </c>
      <c r="E113" s="105" t="s">
        <v>65</v>
      </c>
      <c r="F113" s="105" t="s">
        <v>1508</v>
      </c>
      <c r="G113" s="105" t="s">
        <v>1508</v>
      </c>
      <c r="H113" s="105" t="s">
        <v>252</v>
      </c>
      <c r="I113" s="105" t="s">
        <v>1180</v>
      </c>
      <c r="J113" s="106">
        <v>45511</v>
      </c>
      <c r="K113" s="105"/>
      <c r="L113" s="105" t="s">
        <v>1181</v>
      </c>
      <c r="M113" s="105" t="s">
        <v>1182</v>
      </c>
      <c r="N113" s="106">
        <v>27861</v>
      </c>
      <c r="O113" s="119" t="s">
        <v>1150</v>
      </c>
      <c r="P113" s="105" t="s">
        <v>1183</v>
      </c>
      <c r="Q113" s="105" t="s">
        <v>1184</v>
      </c>
      <c r="R113" s="106">
        <v>44375</v>
      </c>
      <c r="S113" s="105" t="s">
        <v>1185</v>
      </c>
      <c r="T113" s="105" t="s">
        <v>1186</v>
      </c>
      <c r="U113" s="107" t="s">
        <v>1187</v>
      </c>
      <c r="V113" s="108">
        <v>45668</v>
      </c>
      <c r="W113">
        <v>3800405138</v>
      </c>
      <c r="X113" s="105" t="s">
        <v>1188</v>
      </c>
      <c r="Y113" s="109">
        <v>45861</v>
      </c>
      <c r="AB113" s="116" t="str">
        <f t="shared" si="8"/>
        <v>CÔNG TY CỔ PHẦN PHÁT TRIỂN HẠ TẦNG KỸ THUẬT BECAMEX - BÌNH PHƯỚC</v>
      </c>
      <c r="AC113" s="116" t="str">
        <f t="shared" si="9"/>
        <v>Căn 19 lô TĐC-44</v>
      </c>
      <c r="AD113" s="120">
        <f t="shared" si="7"/>
        <v>110</v>
      </c>
      <c r="AE113" s="121"/>
      <c r="AF113" s="113" t="s">
        <v>229</v>
      </c>
      <c r="AG113" s="111" t="s">
        <v>65</v>
      </c>
      <c r="AH113" s="111" t="s">
        <v>940</v>
      </c>
      <c r="AI113" s="104">
        <v>112</v>
      </c>
      <c r="AJ113" s="136"/>
    </row>
    <row r="114" spans="1:36" ht="18.75" x14ac:dyDescent="0.25">
      <c r="A114" s="105" t="s">
        <v>1177</v>
      </c>
      <c r="B114" s="112" t="s">
        <v>342</v>
      </c>
      <c r="C114" s="112" t="s">
        <v>342</v>
      </c>
      <c r="D114" s="105" t="s">
        <v>1509</v>
      </c>
      <c r="E114" s="105" t="s">
        <v>65</v>
      </c>
      <c r="F114" s="105" t="s">
        <v>1510</v>
      </c>
      <c r="G114" s="105" t="s">
        <v>1510</v>
      </c>
      <c r="H114" s="105" t="s">
        <v>1511</v>
      </c>
      <c r="I114" s="105" t="s">
        <v>1192</v>
      </c>
      <c r="J114" s="106">
        <v>45551</v>
      </c>
      <c r="K114" s="105"/>
      <c r="L114" s="105" t="s">
        <v>1181</v>
      </c>
      <c r="M114" s="105" t="s">
        <v>1182</v>
      </c>
      <c r="N114" s="106">
        <v>27861</v>
      </c>
      <c r="O114" s="119" t="s">
        <v>1150</v>
      </c>
      <c r="P114" s="105" t="s">
        <v>1183</v>
      </c>
      <c r="Q114" s="105" t="s">
        <v>1184</v>
      </c>
      <c r="R114" s="106">
        <v>44375</v>
      </c>
      <c r="S114" s="105" t="s">
        <v>1185</v>
      </c>
      <c r="T114" s="105" t="s">
        <v>1186</v>
      </c>
      <c r="U114" s="107" t="s">
        <v>1187</v>
      </c>
      <c r="V114" s="108">
        <v>45668</v>
      </c>
      <c r="W114">
        <v>3800405138</v>
      </c>
      <c r="X114" s="105" t="s">
        <v>1188</v>
      </c>
      <c r="Y114" s="109">
        <v>45861</v>
      </c>
      <c r="AB114" s="116" t="str">
        <f t="shared" si="8"/>
        <v>CÔNG TY CỔ PHẦN PHÁT TRIỂN HẠ TẦNG KỸ THUẬT BECAMEX - BÌNH PHƯỚC</v>
      </c>
      <c r="AC114" s="116" t="str">
        <f t="shared" si="9"/>
        <v>Căn 20 lô AM-16</v>
      </c>
      <c r="AD114" s="120">
        <f t="shared" si="7"/>
        <v>151</v>
      </c>
      <c r="AE114" s="121"/>
      <c r="AF114" s="113" t="s">
        <v>230</v>
      </c>
      <c r="AG114" s="111" t="s">
        <v>65</v>
      </c>
      <c r="AH114" s="111" t="s">
        <v>941</v>
      </c>
      <c r="AI114" s="104">
        <v>113</v>
      </c>
      <c r="AJ114" s="136"/>
    </row>
    <row r="115" spans="1:36" ht="18.75" x14ac:dyDescent="0.25">
      <c r="A115" s="105" t="s">
        <v>1177</v>
      </c>
      <c r="B115" s="142" t="s">
        <v>1512</v>
      </c>
      <c r="C115" s="112" t="s">
        <v>1512</v>
      </c>
      <c r="D115" s="105" t="s">
        <v>1513</v>
      </c>
      <c r="E115" s="105" t="s">
        <v>1208</v>
      </c>
      <c r="F115" s="119" t="s">
        <v>1726</v>
      </c>
      <c r="G115" s="105" t="s">
        <v>1203</v>
      </c>
      <c r="H115" s="105" t="s">
        <v>1514</v>
      </c>
      <c r="I115" s="143" t="s">
        <v>1210</v>
      </c>
      <c r="J115" s="106">
        <v>45652</v>
      </c>
      <c r="K115" s="105"/>
      <c r="L115" s="105" t="s">
        <v>1181</v>
      </c>
      <c r="M115" s="105" t="s">
        <v>1182</v>
      </c>
      <c r="N115" s="106">
        <v>27861</v>
      </c>
      <c r="O115" s="119" t="s">
        <v>1150</v>
      </c>
      <c r="P115" s="105" t="s">
        <v>1183</v>
      </c>
      <c r="Q115" s="105" t="s">
        <v>1184</v>
      </c>
      <c r="R115" s="106">
        <v>44375</v>
      </c>
      <c r="S115" s="105" t="s">
        <v>1185</v>
      </c>
      <c r="T115" s="105" t="s">
        <v>1186</v>
      </c>
      <c r="U115" s="107" t="s">
        <v>1187</v>
      </c>
      <c r="V115" s="108">
        <v>45668</v>
      </c>
      <c r="W115">
        <v>3800405138</v>
      </c>
      <c r="X115" s="105" t="s">
        <v>1188</v>
      </c>
      <c r="Y115" s="109">
        <v>45861</v>
      </c>
      <c r="AB115" s="126" t="e">
        <f t="shared" si="8"/>
        <v>#N/A</v>
      </c>
      <c r="AC115" s="126" t="e">
        <f t="shared" si="9"/>
        <v>#N/A</v>
      </c>
      <c r="AD115" s="144" t="e">
        <f t="shared" si="7"/>
        <v>#N/A</v>
      </c>
      <c r="AE115" s="121"/>
      <c r="AF115" s="113" t="s">
        <v>231</v>
      </c>
      <c r="AG115" s="111" t="s">
        <v>65</v>
      </c>
      <c r="AH115" s="111" t="s">
        <v>942</v>
      </c>
      <c r="AI115" s="104">
        <v>114</v>
      </c>
      <c r="AJ115" s="136"/>
    </row>
    <row r="116" spans="1:36" ht="18.75" x14ac:dyDescent="0.25">
      <c r="A116" s="105" t="s">
        <v>1177</v>
      </c>
      <c r="B116" s="112" t="s">
        <v>166</v>
      </c>
      <c r="C116" s="112" t="s">
        <v>166</v>
      </c>
      <c r="D116" s="105" t="s">
        <v>1515</v>
      </c>
      <c r="E116" s="105" t="s">
        <v>1516</v>
      </c>
      <c r="F116" s="105" t="s">
        <v>1517</v>
      </c>
      <c r="G116" s="105" t="s">
        <v>1517</v>
      </c>
      <c r="H116" s="105" t="s">
        <v>1518</v>
      </c>
      <c r="I116" s="105" t="s">
        <v>1205</v>
      </c>
      <c r="J116" s="106">
        <v>44519</v>
      </c>
      <c r="K116" s="105"/>
      <c r="L116" s="105" t="s">
        <v>1181</v>
      </c>
      <c r="M116" s="105" t="s">
        <v>1182</v>
      </c>
      <c r="N116" s="106">
        <v>27861</v>
      </c>
      <c r="O116" s="119" t="s">
        <v>1150</v>
      </c>
      <c r="P116" s="105" t="s">
        <v>1183</v>
      </c>
      <c r="Q116" s="105" t="s">
        <v>1184</v>
      </c>
      <c r="R116" s="106">
        <v>44375</v>
      </c>
      <c r="S116" s="105" t="s">
        <v>1185</v>
      </c>
      <c r="T116" s="105" t="s">
        <v>1186</v>
      </c>
      <c r="U116" s="107" t="s">
        <v>1187</v>
      </c>
      <c r="V116" s="108">
        <v>45668</v>
      </c>
      <c r="W116">
        <v>3800405138</v>
      </c>
      <c r="X116" s="105" t="s">
        <v>1188</v>
      </c>
      <c r="Y116" s="109">
        <v>45861</v>
      </c>
      <c r="AB116" s="116" t="str">
        <f t="shared" si="8"/>
        <v>CÔNG TY CỔ PHẦN PHÁT TRIỂN HẠ TẦNG KỸ THUẬT BECAMEX - BÌNH PHƯỚC</v>
      </c>
      <c r="AC116" s="116" t="str">
        <f t="shared" si="9"/>
        <v>Căn 18 lô TĐC-31</v>
      </c>
      <c r="AD116" s="120">
        <f t="shared" si="7"/>
        <v>57</v>
      </c>
      <c r="AE116" s="121"/>
      <c r="AF116" s="113" t="s">
        <v>232</v>
      </c>
      <c r="AG116" s="111" t="s">
        <v>65</v>
      </c>
      <c r="AH116" s="111" t="s">
        <v>943</v>
      </c>
      <c r="AI116" s="104">
        <v>115</v>
      </c>
      <c r="AJ116" s="136"/>
    </row>
    <row r="117" spans="1:36" ht="18.75" x14ac:dyDescent="0.25">
      <c r="A117" s="105" t="s">
        <v>1177</v>
      </c>
      <c r="B117" s="112" t="s">
        <v>179</v>
      </c>
      <c r="C117" s="112" t="s">
        <v>179</v>
      </c>
      <c r="D117" s="105" t="s">
        <v>1519</v>
      </c>
      <c r="E117" s="105" t="s">
        <v>65</v>
      </c>
      <c r="F117" s="105" t="s">
        <v>1520</v>
      </c>
      <c r="G117" s="105" t="s">
        <v>1520</v>
      </c>
      <c r="H117" s="105" t="s">
        <v>186</v>
      </c>
      <c r="I117" s="105" t="s">
        <v>1192</v>
      </c>
      <c r="J117" s="106">
        <v>45457</v>
      </c>
      <c r="K117" s="105"/>
      <c r="L117" s="105" t="s">
        <v>1181</v>
      </c>
      <c r="M117" s="105" t="s">
        <v>1182</v>
      </c>
      <c r="N117" s="106">
        <v>27861</v>
      </c>
      <c r="O117" s="119" t="s">
        <v>1150</v>
      </c>
      <c r="P117" s="105" t="s">
        <v>1183</v>
      </c>
      <c r="Q117" s="105" t="s">
        <v>1184</v>
      </c>
      <c r="R117" s="106">
        <v>44375</v>
      </c>
      <c r="S117" s="105" t="s">
        <v>1185</v>
      </c>
      <c r="T117" s="105" t="s">
        <v>1186</v>
      </c>
      <c r="U117" s="107" t="s">
        <v>1187</v>
      </c>
      <c r="V117" s="108">
        <v>45668</v>
      </c>
      <c r="W117">
        <v>3800405138</v>
      </c>
      <c r="X117" s="105" t="s">
        <v>1188</v>
      </c>
      <c r="Y117" s="109">
        <v>45861</v>
      </c>
      <c r="AB117" s="116" t="str">
        <f t="shared" si="8"/>
        <v>CÔNG TY CỔ PHẦN PHÁT TRIỂN HẠ TẦNG KỸ THUẬT BECAMEX - BÌNH PHƯỚC</v>
      </c>
      <c r="AC117" s="116" t="str">
        <f t="shared" si="9"/>
        <v>Căn 76 lô AM-16</v>
      </c>
      <c r="AD117" s="120">
        <f t="shared" si="7"/>
        <v>207</v>
      </c>
      <c r="AE117" s="121"/>
      <c r="AF117" s="113" t="s">
        <v>233</v>
      </c>
      <c r="AG117" s="111" t="s">
        <v>65</v>
      </c>
      <c r="AH117" s="111" t="s">
        <v>944</v>
      </c>
      <c r="AI117" s="104">
        <v>116</v>
      </c>
      <c r="AJ117" s="136"/>
    </row>
    <row r="118" spans="1:36" ht="18.75" x14ac:dyDescent="0.25">
      <c r="A118" s="105" t="s">
        <v>1177</v>
      </c>
      <c r="B118" s="112" t="s">
        <v>183</v>
      </c>
      <c r="C118" s="112" t="s">
        <v>183</v>
      </c>
      <c r="D118" s="105" t="s">
        <v>1521</v>
      </c>
      <c r="E118" s="105" t="s">
        <v>65</v>
      </c>
      <c r="F118" s="105" t="s">
        <v>1522</v>
      </c>
      <c r="G118" s="105" t="s">
        <v>1522</v>
      </c>
      <c r="H118" s="105" t="s">
        <v>190</v>
      </c>
      <c r="I118" s="105" t="s">
        <v>1192</v>
      </c>
      <c r="J118" s="106">
        <v>45457</v>
      </c>
      <c r="K118" s="105"/>
      <c r="L118" s="105" t="s">
        <v>1181</v>
      </c>
      <c r="M118" s="105" t="s">
        <v>1182</v>
      </c>
      <c r="N118" s="106">
        <v>27861</v>
      </c>
      <c r="O118" s="119" t="s">
        <v>1150</v>
      </c>
      <c r="P118" s="105" t="s">
        <v>1183</v>
      </c>
      <c r="Q118" s="105" t="s">
        <v>1184</v>
      </c>
      <c r="R118" s="106">
        <v>44375</v>
      </c>
      <c r="S118" s="105" t="s">
        <v>1185</v>
      </c>
      <c r="T118" s="105" t="s">
        <v>1186</v>
      </c>
      <c r="U118" s="107" t="s">
        <v>1187</v>
      </c>
      <c r="V118" s="108">
        <v>45668</v>
      </c>
      <c r="W118">
        <v>3800405138</v>
      </c>
      <c r="X118" s="105" t="s">
        <v>1188</v>
      </c>
      <c r="Y118" s="109">
        <v>45861</v>
      </c>
      <c r="AB118" s="116" t="str">
        <f t="shared" si="8"/>
        <v>CÔNG TY CỔ PHẦN PHÁT TRIỂN HẠ TẦNG KỸ THUẬT BECAMEX - BÌNH PHƯỚC</v>
      </c>
      <c r="AC118" s="116" t="str">
        <f t="shared" si="9"/>
        <v>Căn 78 lô AM-16</v>
      </c>
      <c r="AD118" s="120">
        <f t="shared" si="7"/>
        <v>209</v>
      </c>
      <c r="AE118" s="121"/>
      <c r="AF118" s="113" t="s">
        <v>234</v>
      </c>
      <c r="AG118" s="111" t="s">
        <v>65</v>
      </c>
      <c r="AH118" s="111" t="s">
        <v>945</v>
      </c>
      <c r="AI118" s="104">
        <v>117</v>
      </c>
      <c r="AJ118" s="136"/>
    </row>
    <row r="119" spans="1:36" ht="18.75" x14ac:dyDescent="0.25">
      <c r="A119" s="105" t="s">
        <v>1177</v>
      </c>
      <c r="B119" s="112" t="s">
        <v>185</v>
      </c>
      <c r="C119" s="112" t="s">
        <v>185</v>
      </c>
      <c r="D119" s="105" t="s">
        <v>1523</v>
      </c>
      <c r="E119" s="105" t="s">
        <v>65</v>
      </c>
      <c r="F119" s="105" t="s">
        <v>1524</v>
      </c>
      <c r="G119" s="105" t="s">
        <v>1524</v>
      </c>
      <c r="H119" s="105" t="s">
        <v>192</v>
      </c>
      <c r="I119" s="105" t="s">
        <v>1192</v>
      </c>
      <c r="J119" s="106">
        <v>45457</v>
      </c>
      <c r="K119" s="105"/>
      <c r="L119" s="105" t="s">
        <v>1181</v>
      </c>
      <c r="M119" s="105" t="s">
        <v>1182</v>
      </c>
      <c r="N119" s="106">
        <v>27861</v>
      </c>
      <c r="O119" s="119" t="s">
        <v>1150</v>
      </c>
      <c r="P119" s="105" t="s">
        <v>1183</v>
      </c>
      <c r="Q119" s="105" t="s">
        <v>1184</v>
      </c>
      <c r="R119" s="106">
        <v>44375</v>
      </c>
      <c r="S119" s="105" t="s">
        <v>1185</v>
      </c>
      <c r="T119" s="105" t="s">
        <v>1186</v>
      </c>
      <c r="U119" s="107" t="s">
        <v>1187</v>
      </c>
      <c r="V119" s="108">
        <v>45668</v>
      </c>
      <c r="W119">
        <v>3800405138</v>
      </c>
      <c r="X119" s="105" t="s">
        <v>1188</v>
      </c>
      <c r="Y119" s="109">
        <v>45861</v>
      </c>
      <c r="AB119" s="116" t="str">
        <f t="shared" si="8"/>
        <v>CÔNG TY CỔ PHẦN PHÁT TRIỂN HẠ TẦNG KỸ THUẬT BECAMEX - BÌNH PHƯỚC</v>
      </c>
      <c r="AC119" s="116" t="str">
        <f t="shared" si="9"/>
        <v>Căn 82 lô AM-16</v>
      </c>
      <c r="AD119" s="120">
        <f t="shared" si="7"/>
        <v>213</v>
      </c>
      <c r="AE119" s="121"/>
      <c r="AF119" s="122" t="s">
        <v>762</v>
      </c>
      <c r="AG119" s="123" t="s">
        <v>65</v>
      </c>
      <c r="AH119" s="123" t="s">
        <v>763</v>
      </c>
      <c r="AI119" s="124">
        <v>118</v>
      </c>
      <c r="AJ119" s="125"/>
    </row>
    <row r="120" spans="1:36" ht="18.75" x14ac:dyDescent="0.25">
      <c r="A120" s="105" t="s">
        <v>1177</v>
      </c>
      <c r="B120" s="112" t="s">
        <v>180</v>
      </c>
      <c r="C120" s="112" t="s">
        <v>180</v>
      </c>
      <c r="D120" s="105" t="s">
        <v>1525</v>
      </c>
      <c r="E120" s="105" t="s">
        <v>65</v>
      </c>
      <c r="F120" s="105" t="s">
        <v>1526</v>
      </c>
      <c r="G120" s="105" t="s">
        <v>1526</v>
      </c>
      <c r="H120" s="105" t="s">
        <v>187</v>
      </c>
      <c r="I120" s="105" t="s">
        <v>1192</v>
      </c>
      <c r="J120" s="106">
        <v>45457</v>
      </c>
      <c r="K120" s="105"/>
      <c r="L120" s="105" t="s">
        <v>1181</v>
      </c>
      <c r="M120" s="105" t="s">
        <v>1182</v>
      </c>
      <c r="N120" s="106">
        <v>27861</v>
      </c>
      <c r="O120" s="119" t="s">
        <v>1150</v>
      </c>
      <c r="P120" s="105" t="s">
        <v>1183</v>
      </c>
      <c r="Q120" s="105" t="s">
        <v>1184</v>
      </c>
      <c r="R120" s="106">
        <v>44375</v>
      </c>
      <c r="S120" s="105" t="s">
        <v>1185</v>
      </c>
      <c r="T120" s="105" t="s">
        <v>1186</v>
      </c>
      <c r="U120" s="107" t="s">
        <v>1187</v>
      </c>
      <c r="V120" s="108">
        <v>45668</v>
      </c>
      <c r="W120">
        <v>3800405138</v>
      </c>
      <c r="X120" s="105" t="s">
        <v>1188</v>
      </c>
      <c r="Y120" s="109">
        <v>45861</v>
      </c>
      <c r="AB120" s="116" t="str">
        <f t="shared" si="8"/>
        <v>CÔNG TY CỔ PHẦN PHÁT TRIỂN HẠ TẦNG KỸ THUẬT BECAMEX - BÌNH PHƯỚC</v>
      </c>
      <c r="AC120" s="116" t="str">
        <f t="shared" si="9"/>
        <v>Căn 79 lô AM-16</v>
      </c>
      <c r="AD120" s="120">
        <f t="shared" si="7"/>
        <v>210</v>
      </c>
      <c r="AE120" s="121"/>
      <c r="AF120" s="122" t="s">
        <v>1126</v>
      </c>
      <c r="AG120" s="138" t="s">
        <v>65</v>
      </c>
      <c r="AH120" s="123" t="s">
        <v>1137</v>
      </c>
      <c r="AI120" s="124">
        <v>119</v>
      </c>
      <c r="AJ120" s="125"/>
    </row>
    <row r="121" spans="1:36" ht="18.75" x14ac:dyDescent="0.25">
      <c r="A121" s="105" t="s">
        <v>1177</v>
      </c>
      <c r="B121" s="112" t="s">
        <v>232</v>
      </c>
      <c r="C121" s="112" t="s">
        <v>232</v>
      </c>
      <c r="D121" s="105" t="s">
        <v>1527</v>
      </c>
      <c r="E121" s="105" t="s">
        <v>65</v>
      </c>
      <c r="F121" s="105" t="s">
        <v>1528</v>
      </c>
      <c r="G121" s="105" t="s">
        <v>1528</v>
      </c>
      <c r="H121" s="105" t="s">
        <v>257</v>
      </c>
      <c r="I121" s="105" t="s">
        <v>1180</v>
      </c>
      <c r="J121" s="106">
        <v>45511</v>
      </c>
      <c r="K121" s="105"/>
      <c r="L121" s="105" t="s">
        <v>1181</v>
      </c>
      <c r="M121" s="105" t="s">
        <v>1182</v>
      </c>
      <c r="N121" s="106">
        <v>27861</v>
      </c>
      <c r="O121" s="119" t="s">
        <v>1150</v>
      </c>
      <c r="P121" s="105" t="s">
        <v>1183</v>
      </c>
      <c r="Q121" s="105" t="s">
        <v>1184</v>
      </c>
      <c r="R121" s="106">
        <v>44375</v>
      </c>
      <c r="S121" s="105" t="s">
        <v>1185</v>
      </c>
      <c r="T121" s="105" t="s">
        <v>1186</v>
      </c>
      <c r="U121" s="107" t="s">
        <v>1187</v>
      </c>
      <c r="V121" s="108">
        <v>45668</v>
      </c>
      <c r="W121">
        <v>3800405138</v>
      </c>
      <c r="X121" s="105" t="s">
        <v>1188</v>
      </c>
      <c r="Y121" s="109">
        <v>45861</v>
      </c>
      <c r="AB121" s="116" t="str">
        <f t="shared" si="8"/>
        <v>CÔNG TY CỔ PHẦN PHÁT TRIỂN HẠ TẦNG KỸ THUẬT BECAMEX - BÌNH PHƯỚC</v>
      </c>
      <c r="AC121" s="116" t="str">
        <f t="shared" si="9"/>
        <v>Căn 24 lô TĐC-44</v>
      </c>
      <c r="AD121" s="120">
        <f t="shared" si="7"/>
        <v>115</v>
      </c>
      <c r="AE121" s="121"/>
      <c r="AF121" s="122" t="s">
        <v>1127</v>
      </c>
      <c r="AG121" s="138" t="s">
        <v>65</v>
      </c>
      <c r="AH121" s="123" t="s">
        <v>1138</v>
      </c>
      <c r="AI121" s="124">
        <v>120</v>
      </c>
      <c r="AJ121" s="125"/>
    </row>
    <row r="122" spans="1:36" ht="18.75" x14ac:dyDescent="0.25">
      <c r="A122" s="105" t="s">
        <v>1177</v>
      </c>
      <c r="B122" s="112" t="s">
        <v>108</v>
      </c>
      <c r="C122" s="112" t="s">
        <v>108</v>
      </c>
      <c r="D122" s="105" t="s">
        <v>1529</v>
      </c>
      <c r="E122" s="105" t="s">
        <v>138</v>
      </c>
      <c r="F122" s="105" t="s">
        <v>1203</v>
      </c>
      <c r="G122" s="105" t="s">
        <v>1203</v>
      </c>
      <c r="H122" s="105" t="s">
        <v>1530</v>
      </c>
      <c r="I122" s="105" t="s">
        <v>1205</v>
      </c>
      <c r="J122" s="106">
        <v>45092</v>
      </c>
      <c r="K122" s="105"/>
      <c r="L122" s="105" t="s">
        <v>1181</v>
      </c>
      <c r="M122" s="105" t="s">
        <v>1182</v>
      </c>
      <c r="N122" s="106">
        <v>27861</v>
      </c>
      <c r="O122" s="119" t="s">
        <v>1150</v>
      </c>
      <c r="P122" s="105" t="s">
        <v>1183</v>
      </c>
      <c r="Q122" s="105" t="s">
        <v>1184</v>
      </c>
      <c r="R122" s="106">
        <v>44375</v>
      </c>
      <c r="S122" s="105" t="s">
        <v>1185</v>
      </c>
      <c r="T122" s="105" t="s">
        <v>1186</v>
      </c>
      <c r="U122" s="107" t="s">
        <v>1187</v>
      </c>
      <c r="V122" s="108">
        <v>45668</v>
      </c>
      <c r="W122">
        <v>3800405138</v>
      </c>
      <c r="X122" s="105" t="s">
        <v>1188</v>
      </c>
      <c r="Y122" s="109">
        <v>45861</v>
      </c>
      <c r="AB122" s="116" t="str">
        <f t="shared" si="8"/>
        <v>CÔNG TY CỔ PHẦN PHÁT TRIỂN HẠ TẦNG KỸ THUẬT BECAMEX-BÌNH PHƯỚC(50 Lô TDC-31)</v>
      </c>
      <c r="AC122" s="116" t="str">
        <f t="shared" si="9"/>
        <v>Căn 50 lô TĐC-31</v>
      </c>
      <c r="AD122" s="120">
        <f t="shared" si="7"/>
        <v>85</v>
      </c>
      <c r="AE122" s="121"/>
      <c r="AF122" s="122" t="s">
        <v>1128</v>
      </c>
      <c r="AG122" s="138" t="s">
        <v>65</v>
      </c>
      <c r="AH122" s="123" t="s">
        <v>1139</v>
      </c>
      <c r="AI122" s="124">
        <v>121</v>
      </c>
      <c r="AJ122" s="125"/>
    </row>
    <row r="123" spans="1:36" ht="18.75" x14ac:dyDescent="0.25">
      <c r="A123" s="105" t="s">
        <v>1177</v>
      </c>
      <c r="B123" s="112" t="s">
        <v>163</v>
      </c>
      <c r="C123" s="112" t="s">
        <v>163</v>
      </c>
      <c r="D123" s="105" t="s">
        <v>1531</v>
      </c>
      <c r="E123" s="105" t="s">
        <v>1532</v>
      </c>
      <c r="F123" s="105" t="s">
        <v>1533</v>
      </c>
      <c r="G123" s="105" t="s">
        <v>1533</v>
      </c>
      <c r="H123" s="105" t="s">
        <v>1534</v>
      </c>
      <c r="I123" s="105" t="s">
        <v>1205</v>
      </c>
      <c r="J123" s="106">
        <v>44519</v>
      </c>
      <c r="K123" s="105"/>
      <c r="L123" s="105" t="s">
        <v>1181</v>
      </c>
      <c r="M123" s="105" t="s">
        <v>1182</v>
      </c>
      <c r="N123" s="106">
        <v>27861</v>
      </c>
      <c r="O123" s="119" t="s">
        <v>1150</v>
      </c>
      <c r="P123" s="105" t="s">
        <v>1183</v>
      </c>
      <c r="Q123" s="105" t="s">
        <v>1184</v>
      </c>
      <c r="R123" s="106">
        <v>44375</v>
      </c>
      <c r="S123" s="105" t="s">
        <v>1185</v>
      </c>
      <c r="T123" s="105" t="s">
        <v>1186</v>
      </c>
      <c r="U123" s="107" t="s">
        <v>1187</v>
      </c>
      <c r="V123" s="108">
        <v>45668</v>
      </c>
      <c r="W123">
        <v>3800405138</v>
      </c>
      <c r="X123" s="105" t="s">
        <v>1188</v>
      </c>
      <c r="Y123" s="109">
        <v>45861</v>
      </c>
      <c r="AB123" s="116" t="str">
        <f t="shared" si="8"/>
        <v>CÔNG TY CỔ PHẦN PHÁT TRIỂN HẠ TẦNG KỸ THUẬT BECAMEX - BÌNH PHƯỚC</v>
      </c>
      <c r="AC123" s="116" t="str">
        <f t="shared" si="9"/>
        <v>Căn 15 lô TĐC-31</v>
      </c>
      <c r="AD123" s="120">
        <f t="shared" si="7"/>
        <v>54</v>
      </c>
      <c r="AE123" s="121"/>
      <c r="AF123" s="122" t="s">
        <v>1129</v>
      </c>
      <c r="AG123" s="138" t="s">
        <v>65</v>
      </c>
      <c r="AH123" s="123" t="s">
        <v>1140</v>
      </c>
      <c r="AI123" s="124">
        <v>122</v>
      </c>
      <c r="AJ123" s="125"/>
    </row>
    <row r="124" spans="1:36" ht="18.75" x14ac:dyDescent="0.25">
      <c r="A124" s="105" t="s">
        <v>1177</v>
      </c>
      <c r="B124" s="112" t="s">
        <v>216</v>
      </c>
      <c r="C124" s="112" t="s">
        <v>216</v>
      </c>
      <c r="D124" s="105" t="s">
        <v>1535</v>
      </c>
      <c r="E124" s="105" t="s">
        <v>65</v>
      </c>
      <c r="F124" s="105" t="s">
        <v>1536</v>
      </c>
      <c r="G124" s="105" t="s">
        <v>1536</v>
      </c>
      <c r="H124" s="105" t="s">
        <v>241</v>
      </c>
      <c r="I124" s="105" t="s">
        <v>1180</v>
      </c>
      <c r="J124" s="106">
        <v>45511</v>
      </c>
      <c r="K124" s="105"/>
      <c r="L124" s="105" t="s">
        <v>1181</v>
      </c>
      <c r="M124" s="105" t="s">
        <v>1182</v>
      </c>
      <c r="N124" s="106">
        <v>27861</v>
      </c>
      <c r="O124" s="119" t="s">
        <v>1150</v>
      </c>
      <c r="P124" s="105" t="s">
        <v>1183</v>
      </c>
      <c r="Q124" s="105" t="s">
        <v>1184</v>
      </c>
      <c r="R124" s="106">
        <v>44375</v>
      </c>
      <c r="S124" s="105" t="s">
        <v>1185</v>
      </c>
      <c r="T124" s="105" t="s">
        <v>1186</v>
      </c>
      <c r="U124" s="107" t="s">
        <v>1187</v>
      </c>
      <c r="V124" s="108">
        <v>45668</v>
      </c>
      <c r="W124">
        <v>3800405138</v>
      </c>
      <c r="X124" s="105" t="s">
        <v>1188</v>
      </c>
      <c r="Y124" s="109">
        <v>45861</v>
      </c>
      <c r="AB124" s="116" t="str">
        <f t="shared" si="8"/>
        <v>CÔNG TY CỔ PHẦN PHÁT TRIỂN HẠ TẦNG KỸ THUẬT BECAMEX - BÌNH PHƯỚC</v>
      </c>
      <c r="AC124" s="116" t="str">
        <f t="shared" si="9"/>
        <v>Căn 8 lô TĐC-44</v>
      </c>
      <c r="AD124" s="120">
        <f t="shared" si="7"/>
        <v>99</v>
      </c>
      <c r="AE124" s="121"/>
      <c r="AF124" s="122" t="s">
        <v>1130</v>
      </c>
      <c r="AG124" s="138" t="s">
        <v>65</v>
      </c>
      <c r="AH124" s="123" t="s">
        <v>1141</v>
      </c>
      <c r="AI124" s="124">
        <v>123</v>
      </c>
      <c r="AJ124" s="125"/>
    </row>
    <row r="125" spans="1:36" ht="18.75" x14ac:dyDescent="0.25">
      <c r="A125" s="105" t="s">
        <v>1177</v>
      </c>
      <c r="B125" s="112" t="s">
        <v>355</v>
      </c>
      <c r="C125" s="112" t="s">
        <v>355</v>
      </c>
      <c r="D125" s="105" t="s">
        <v>1537</v>
      </c>
      <c r="E125" s="105" t="s">
        <v>65</v>
      </c>
      <c r="F125" s="105" t="s">
        <v>1538</v>
      </c>
      <c r="G125" s="105" t="s">
        <v>1538</v>
      </c>
      <c r="H125" s="105" t="s">
        <v>1539</v>
      </c>
      <c r="I125" s="105" t="s">
        <v>1192</v>
      </c>
      <c r="J125" s="106">
        <v>45551</v>
      </c>
      <c r="K125" s="105"/>
      <c r="L125" s="105" t="s">
        <v>1181</v>
      </c>
      <c r="M125" s="105" t="s">
        <v>1182</v>
      </c>
      <c r="N125" s="106">
        <v>27861</v>
      </c>
      <c r="O125" s="119" t="s">
        <v>1150</v>
      </c>
      <c r="P125" s="105" t="s">
        <v>1183</v>
      </c>
      <c r="Q125" s="105" t="s">
        <v>1184</v>
      </c>
      <c r="R125" s="106">
        <v>44375</v>
      </c>
      <c r="S125" s="105" t="s">
        <v>1185</v>
      </c>
      <c r="T125" s="105" t="s">
        <v>1186</v>
      </c>
      <c r="U125" s="107" t="s">
        <v>1187</v>
      </c>
      <c r="V125" s="108">
        <v>45668</v>
      </c>
      <c r="W125">
        <v>3800405138</v>
      </c>
      <c r="X125" s="105" t="s">
        <v>1188</v>
      </c>
      <c r="Y125" s="109">
        <v>45861</v>
      </c>
      <c r="AB125" s="116" t="str">
        <f t="shared" si="8"/>
        <v>CÔNG TY CỔ PHẦN PHÁT TRIỂN HẠ TẦNG KỸ THUẬT BECAMEX - BÌNH PHƯỚC</v>
      </c>
      <c r="AC125" s="116" t="str">
        <f t="shared" si="9"/>
        <v>Căn 07 lô AM-16</v>
      </c>
      <c r="AD125" s="120">
        <f t="shared" si="7"/>
        <v>138</v>
      </c>
      <c r="AE125" s="121"/>
      <c r="AF125" s="122" t="s">
        <v>1131</v>
      </c>
      <c r="AG125" s="138" t="s">
        <v>65</v>
      </c>
      <c r="AH125" s="123" t="s">
        <v>1142</v>
      </c>
      <c r="AI125" s="124">
        <v>124</v>
      </c>
      <c r="AJ125" s="125"/>
    </row>
    <row r="126" spans="1:36" ht="18.75" x14ac:dyDescent="0.25">
      <c r="A126" s="105" t="s">
        <v>1177</v>
      </c>
      <c r="B126" s="112" t="s">
        <v>618</v>
      </c>
      <c r="C126" s="112" t="s">
        <v>618</v>
      </c>
      <c r="D126" s="105" t="s">
        <v>1540</v>
      </c>
      <c r="E126" s="105" t="s">
        <v>65</v>
      </c>
      <c r="F126" s="105" t="s">
        <v>1541</v>
      </c>
      <c r="G126" s="105" t="s">
        <v>1541</v>
      </c>
      <c r="H126" s="105" t="s">
        <v>1542</v>
      </c>
      <c r="I126" s="105" t="s">
        <v>1192</v>
      </c>
      <c r="J126" s="106">
        <v>45549</v>
      </c>
      <c r="K126" s="105"/>
      <c r="L126" s="105" t="s">
        <v>1181</v>
      </c>
      <c r="M126" s="105" t="s">
        <v>1182</v>
      </c>
      <c r="N126" s="106">
        <v>27861</v>
      </c>
      <c r="O126" s="119" t="s">
        <v>1150</v>
      </c>
      <c r="P126" s="105" t="s">
        <v>1183</v>
      </c>
      <c r="Q126" s="105" t="s">
        <v>1184</v>
      </c>
      <c r="R126" s="106">
        <v>44375</v>
      </c>
      <c r="S126" s="105" t="s">
        <v>1185</v>
      </c>
      <c r="T126" s="105" t="s">
        <v>1186</v>
      </c>
      <c r="U126" s="107" t="s">
        <v>1187</v>
      </c>
      <c r="V126" s="108">
        <v>45668</v>
      </c>
      <c r="W126">
        <v>3800405138</v>
      </c>
      <c r="X126" s="105" t="s">
        <v>1188</v>
      </c>
      <c r="Y126" s="109">
        <v>45861</v>
      </c>
      <c r="AB126" s="116" t="str">
        <f t="shared" si="8"/>
        <v>CÔNG TY CỔ PHẦN PHÁT TRIỂN HẠ TẦNG KỸ THUẬT BECAMEX - BÌNH PHƯỚC</v>
      </c>
      <c r="AC126" s="116" t="str">
        <f t="shared" si="9"/>
        <v>Căn 70 lô AM-16</v>
      </c>
      <c r="AD126" s="120">
        <f t="shared" si="7"/>
        <v>201</v>
      </c>
      <c r="AE126" s="121"/>
      <c r="AF126" s="122" t="s">
        <v>1132</v>
      </c>
      <c r="AG126" s="138" t="s">
        <v>65</v>
      </c>
      <c r="AH126" s="123" t="s">
        <v>1143</v>
      </c>
      <c r="AI126" s="124">
        <v>125</v>
      </c>
      <c r="AJ126" s="125"/>
    </row>
    <row r="127" spans="1:36" ht="18.75" x14ac:dyDescent="0.25">
      <c r="A127" s="105" t="s">
        <v>1177</v>
      </c>
      <c r="B127" s="112" t="s">
        <v>359</v>
      </c>
      <c r="C127" s="112" t="s">
        <v>359</v>
      </c>
      <c r="D127" s="105" t="s">
        <v>1543</v>
      </c>
      <c r="E127" s="105" t="s">
        <v>65</v>
      </c>
      <c r="F127" s="105" t="s">
        <v>1544</v>
      </c>
      <c r="G127" s="105" t="s">
        <v>1544</v>
      </c>
      <c r="H127" s="105" t="s">
        <v>1545</v>
      </c>
      <c r="I127" s="105" t="s">
        <v>1192</v>
      </c>
      <c r="J127" s="106">
        <v>45551</v>
      </c>
      <c r="K127" s="105"/>
      <c r="L127" s="105" t="s">
        <v>1181</v>
      </c>
      <c r="M127" s="105" t="s">
        <v>1182</v>
      </c>
      <c r="N127" s="106">
        <v>27861</v>
      </c>
      <c r="O127" s="119" t="s">
        <v>1150</v>
      </c>
      <c r="P127" s="105" t="s">
        <v>1183</v>
      </c>
      <c r="Q127" s="105" t="s">
        <v>1184</v>
      </c>
      <c r="R127" s="106">
        <v>44375</v>
      </c>
      <c r="S127" s="105" t="s">
        <v>1185</v>
      </c>
      <c r="T127" s="105" t="s">
        <v>1186</v>
      </c>
      <c r="U127" s="107" t="s">
        <v>1187</v>
      </c>
      <c r="V127" s="108">
        <v>45668</v>
      </c>
      <c r="W127">
        <v>3800405138</v>
      </c>
      <c r="X127" s="105" t="s">
        <v>1188</v>
      </c>
      <c r="Y127" s="109">
        <v>45861</v>
      </c>
      <c r="AB127" s="116" t="str">
        <f t="shared" si="8"/>
        <v>CÔNG TY CỔ PHẦN PHÁT TRIỂN HẠ TẦNG KỸ THUẬT BECAMEX - BÌNH PHƯỚC</v>
      </c>
      <c r="AC127" s="116" t="str">
        <f t="shared" si="9"/>
        <v>Căn 03 lô AM-16</v>
      </c>
      <c r="AD127" s="120">
        <f t="shared" si="7"/>
        <v>134</v>
      </c>
      <c r="AE127" s="121"/>
      <c r="AF127" s="122" t="s">
        <v>1133</v>
      </c>
      <c r="AG127" s="138" t="s">
        <v>65</v>
      </c>
      <c r="AH127" s="123" t="s">
        <v>1144</v>
      </c>
      <c r="AI127" s="124">
        <v>126</v>
      </c>
      <c r="AJ127" s="125"/>
    </row>
    <row r="128" spans="1:36" ht="18.75" x14ac:dyDescent="0.25">
      <c r="A128" s="105" t="s">
        <v>1177</v>
      </c>
      <c r="B128" s="112" t="s">
        <v>210</v>
      </c>
      <c r="C128" s="112" t="s">
        <v>210</v>
      </c>
      <c r="D128" s="105" t="s">
        <v>1546</v>
      </c>
      <c r="E128" s="105" t="s">
        <v>65</v>
      </c>
      <c r="F128" s="105" t="s">
        <v>1547</v>
      </c>
      <c r="G128" s="105" t="s">
        <v>1547</v>
      </c>
      <c r="H128" s="105" t="s">
        <v>235</v>
      </c>
      <c r="I128" s="105" t="s">
        <v>1180</v>
      </c>
      <c r="J128" s="106">
        <v>45511</v>
      </c>
      <c r="K128" s="105"/>
      <c r="L128" s="105" t="s">
        <v>1181</v>
      </c>
      <c r="M128" s="105" t="s">
        <v>1182</v>
      </c>
      <c r="N128" s="106">
        <v>27861</v>
      </c>
      <c r="O128" s="119" t="s">
        <v>1150</v>
      </c>
      <c r="P128" s="105" t="s">
        <v>1183</v>
      </c>
      <c r="Q128" s="105" t="s">
        <v>1184</v>
      </c>
      <c r="R128" s="106">
        <v>44375</v>
      </c>
      <c r="S128" s="105" t="s">
        <v>1185</v>
      </c>
      <c r="T128" s="105" t="s">
        <v>1186</v>
      </c>
      <c r="U128" s="107" t="s">
        <v>1187</v>
      </c>
      <c r="V128" s="108">
        <v>45668</v>
      </c>
      <c r="W128">
        <v>3800405138</v>
      </c>
      <c r="X128" s="105" t="s">
        <v>1188</v>
      </c>
      <c r="Y128" s="109">
        <v>45861</v>
      </c>
      <c r="AB128" s="116" t="str">
        <f t="shared" si="8"/>
        <v>CÔNG TY CỔ PHẦN PHÁT TRIỂN HẠ TẦNG KỸ THUẬT BECAMEX - BÌNH PHƯỚC</v>
      </c>
      <c r="AC128" s="116" t="str">
        <f t="shared" si="9"/>
        <v>Căn 2 lô TĐC-44</v>
      </c>
      <c r="AD128" s="120">
        <f t="shared" si="7"/>
        <v>93</v>
      </c>
      <c r="AE128" s="121"/>
      <c r="AF128" s="122" t="s">
        <v>1134</v>
      </c>
      <c r="AG128" s="138" t="s">
        <v>65</v>
      </c>
      <c r="AH128" s="123" t="s">
        <v>1145</v>
      </c>
      <c r="AI128" s="124">
        <v>127</v>
      </c>
      <c r="AJ128" s="125"/>
    </row>
    <row r="129" spans="1:36" ht="18.75" x14ac:dyDescent="0.25">
      <c r="A129" s="105" t="s">
        <v>1177</v>
      </c>
      <c r="B129" s="112" t="s">
        <v>334</v>
      </c>
      <c r="C129" s="112" t="s">
        <v>334</v>
      </c>
      <c r="D129" s="105" t="s">
        <v>1548</v>
      </c>
      <c r="E129" s="105" t="s">
        <v>65</v>
      </c>
      <c r="F129" s="105" t="s">
        <v>1549</v>
      </c>
      <c r="G129" s="105" t="s">
        <v>1549</v>
      </c>
      <c r="H129" s="105" t="s">
        <v>1550</v>
      </c>
      <c r="I129" s="105" t="s">
        <v>1192</v>
      </c>
      <c r="J129" s="106">
        <v>45551</v>
      </c>
      <c r="K129" s="105"/>
      <c r="L129" s="105" t="s">
        <v>1181</v>
      </c>
      <c r="M129" s="105" t="s">
        <v>1182</v>
      </c>
      <c r="N129" s="106">
        <v>27861</v>
      </c>
      <c r="O129" s="119" t="s">
        <v>1150</v>
      </c>
      <c r="P129" s="105" t="s">
        <v>1183</v>
      </c>
      <c r="Q129" s="105" t="s">
        <v>1184</v>
      </c>
      <c r="R129" s="106">
        <v>44375</v>
      </c>
      <c r="S129" s="105" t="s">
        <v>1185</v>
      </c>
      <c r="T129" s="105" t="s">
        <v>1186</v>
      </c>
      <c r="U129" s="107" t="s">
        <v>1187</v>
      </c>
      <c r="V129" s="108">
        <v>45668</v>
      </c>
      <c r="W129">
        <v>3800405138</v>
      </c>
      <c r="X129" s="105" t="s">
        <v>1188</v>
      </c>
      <c r="Y129" s="109">
        <v>45861</v>
      </c>
      <c r="AB129" s="116" t="str">
        <f t="shared" si="8"/>
        <v>CÔNG TY CỔ PHẦN PHÁT TRIỂN HẠ TẦNG KỸ THUẬT BECAMEX - BÌNH PHƯỚC</v>
      </c>
      <c r="AC129" s="116" t="str">
        <f t="shared" si="9"/>
        <v>Căn 49 lô AM-16</v>
      </c>
      <c r="AD129" s="120">
        <f t="shared" si="7"/>
        <v>180</v>
      </c>
      <c r="AE129" s="121"/>
      <c r="AF129" s="122" t="s">
        <v>1135</v>
      </c>
      <c r="AG129" s="138" t="s">
        <v>65</v>
      </c>
      <c r="AH129" s="123" t="s">
        <v>1146</v>
      </c>
      <c r="AI129" s="124">
        <v>128</v>
      </c>
      <c r="AJ129" s="125"/>
    </row>
    <row r="130" spans="1:36" ht="18.75" x14ac:dyDescent="0.25">
      <c r="A130" s="105" t="s">
        <v>1177</v>
      </c>
      <c r="B130" s="112" t="s">
        <v>346</v>
      </c>
      <c r="C130" s="112" t="s">
        <v>346</v>
      </c>
      <c r="D130" s="105" t="s">
        <v>1551</v>
      </c>
      <c r="E130" s="105" t="s">
        <v>65</v>
      </c>
      <c r="F130" s="119" t="s">
        <v>1711</v>
      </c>
      <c r="G130" s="105" t="s">
        <v>1203</v>
      </c>
      <c r="H130" s="105" t="s">
        <v>1552</v>
      </c>
      <c r="I130" s="105" t="s">
        <v>1192</v>
      </c>
      <c r="J130" s="106">
        <v>45551</v>
      </c>
      <c r="K130" s="105"/>
      <c r="L130" s="105" t="s">
        <v>1181</v>
      </c>
      <c r="M130" s="105" t="s">
        <v>1182</v>
      </c>
      <c r="N130" s="106">
        <v>27861</v>
      </c>
      <c r="O130" s="119" t="s">
        <v>1150</v>
      </c>
      <c r="P130" s="105" t="s">
        <v>1183</v>
      </c>
      <c r="Q130" s="105" t="s">
        <v>1184</v>
      </c>
      <c r="R130" s="106">
        <v>44375</v>
      </c>
      <c r="S130" s="105" t="s">
        <v>1185</v>
      </c>
      <c r="T130" s="105" t="s">
        <v>1186</v>
      </c>
      <c r="U130" s="107" t="s">
        <v>1187</v>
      </c>
      <c r="V130" s="108">
        <v>45668</v>
      </c>
      <c r="W130">
        <v>3800405138</v>
      </c>
      <c r="X130" s="105" t="s">
        <v>1188</v>
      </c>
      <c r="Y130" s="109">
        <v>45861</v>
      </c>
      <c r="AB130" s="116" t="str">
        <f t="shared" ref="AB130:AB161" si="10">VLOOKUP(B130,$AF$2:$AJ$303,2,0)</f>
        <v>CÔNG TY CỔ PHẦN PHÁT TRIỂN HẠ TẦNG KỸ THUẬT BECAMEX - BÌNH PHƯỚC</v>
      </c>
      <c r="AC130" s="116" t="str">
        <f t="shared" ref="AC130:AC161" si="11">VLOOKUP(C130,$AF$2:$AJ$303,3,0)</f>
        <v>Căn 16 lô AM-16</v>
      </c>
      <c r="AD130" s="120">
        <f t="shared" si="7"/>
        <v>147</v>
      </c>
      <c r="AE130" s="121"/>
      <c r="AF130" s="122" t="s">
        <v>1136</v>
      </c>
      <c r="AG130" s="138" t="s">
        <v>65</v>
      </c>
      <c r="AH130" s="123" t="s">
        <v>1147</v>
      </c>
      <c r="AI130" s="124">
        <v>129</v>
      </c>
      <c r="AJ130" s="125"/>
    </row>
    <row r="131" spans="1:36" ht="18.75" x14ac:dyDescent="0.25">
      <c r="A131" s="105" t="s">
        <v>1177</v>
      </c>
      <c r="B131" s="142" t="s">
        <v>1553</v>
      </c>
      <c r="C131" s="112" t="s">
        <v>1553</v>
      </c>
      <c r="D131" s="105" t="s">
        <v>1554</v>
      </c>
      <c r="E131" s="105" t="s">
        <v>1208</v>
      </c>
      <c r="F131" s="119" t="s">
        <v>1727</v>
      </c>
      <c r="G131" s="105" t="s">
        <v>1203</v>
      </c>
      <c r="H131" s="105" t="s">
        <v>1555</v>
      </c>
      <c r="I131" s="143" t="s">
        <v>1210</v>
      </c>
      <c r="J131" s="106">
        <v>45652</v>
      </c>
      <c r="K131" s="105"/>
      <c r="L131" s="105" t="s">
        <v>1181</v>
      </c>
      <c r="M131" s="105" t="s">
        <v>1182</v>
      </c>
      <c r="N131" s="106">
        <v>27861</v>
      </c>
      <c r="O131" s="119" t="s">
        <v>1150</v>
      </c>
      <c r="P131" s="105" t="s">
        <v>1183</v>
      </c>
      <c r="Q131" s="105" t="s">
        <v>1184</v>
      </c>
      <c r="R131" s="106">
        <v>44375</v>
      </c>
      <c r="S131" s="105" t="s">
        <v>1185</v>
      </c>
      <c r="T131" s="105" t="s">
        <v>1186</v>
      </c>
      <c r="U131" s="107" t="s">
        <v>1187</v>
      </c>
      <c r="V131" s="108">
        <v>45668</v>
      </c>
      <c r="W131">
        <v>3800405138</v>
      </c>
      <c r="X131" s="105" t="s">
        <v>1188</v>
      </c>
      <c r="Y131" s="109">
        <v>45861</v>
      </c>
      <c r="AB131" s="126" t="e">
        <f t="shared" si="10"/>
        <v>#N/A</v>
      </c>
      <c r="AC131" s="126" t="e">
        <f t="shared" si="11"/>
        <v>#N/A</v>
      </c>
      <c r="AD131" s="144" t="e">
        <f t="shared" ref="AD131:AD184" si="12">VLOOKUP(C131,$AF$2:$AJ$303,4,0)</f>
        <v>#N/A</v>
      </c>
      <c r="AE131" s="121"/>
      <c r="AF131" s="113" t="s">
        <v>116</v>
      </c>
      <c r="AG131" s="111" t="s">
        <v>146</v>
      </c>
      <c r="AH131" s="111" t="s">
        <v>919</v>
      </c>
      <c r="AI131" s="104">
        <v>130</v>
      </c>
      <c r="AJ131" s="111"/>
    </row>
    <row r="132" spans="1:36" ht="18.75" x14ac:dyDescent="0.25">
      <c r="A132" s="105" t="s">
        <v>1177</v>
      </c>
      <c r="B132" s="112" t="s">
        <v>18</v>
      </c>
      <c r="C132" s="112" t="s">
        <v>18</v>
      </c>
      <c r="D132" s="105" t="s">
        <v>1556</v>
      </c>
      <c r="E132" s="105" t="s">
        <v>65</v>
      </c>
      <c r="F132" s="105" t="s">
        <v>1557</v>
      </c>
      <c r="G132" s="105" t="s">
        <v>1557</v>
      </c>
      <c r="H132" s="105" t="s">
        <v>1558</v>
      </c>
      <c r="I132" s="105" t="s">
        <v>1192</v>
      </c>
      <c r="J132" s="106">
        <v>45189</v>
      </c>
      <c r="K132" s="105"/>
      <c r="L132" s="105" t="s">
        <v>1181</v>
      </c>
      <c r="M132" s="105" t="s">
        <v>1182</v>
      </c>
      <c r="N132" s="106">
        <v>27861</v>
      </c>
      <c r="O132" s="119" t="s">
        <v>1150</v>
      </c>
      <c r="P132" s="105" t="s">
        <v>1183</v>
      </c>
      <c r="Q132" s="105" t="s">
        <v>1184</v>
      </c>
      <c r="R132" s="106">
        <v>44375</v>
      </c>
      <c r="S132" s="105" t="s">
        <v>1185</v>
      </c>
      <c r="T132" s="105" t="s">
        <v>1186</v>
      </c>
      <c r="U132" s="107" t="s">
        <v>1187</v>
      </c>
      <c r="V132" s="108">
        <v>45668</v>
      </c>
      <c r="W132">
        <v>3800405138</v>
      </c>
      <c r="X132" s="105" t="s">
        <v>1188</v>
      </c>
      <c r="Y132" s="109">
        <v>45861</v>
      </c>
      <c r="AB132" s="116" t="str">
        <f t="shared" si="10"/>
        <v>CÔNG TY CỔ PHẦN PHÁT TRIỂN HẠ TẦNG KỸ THUẬT BECAMEX - BÌNH PHƯỚC</v>
      </c>
      <c r="AC132" s="116" t="str">
        <f t="shared" si="11"/>
        <v xml:space="preserve">Căn 79 lô AM-15 </v>
      </c>
      <c r="AD132" s="120">
        <f t="shared" si="12"/>
        <v>32</v>
      </c>
      <c r="AE132" s="121"/>
      <c r="AF132" s="113" t="s">
        <v>117</v>
      </c>
      <c r="AG132" s="111" t="s">
        <v>147</v>
      </c>
      <c r="AH132" s="111" t="s">
        <v>920</v>
      </c>
      <c r="AI132" s="104">
        <v>131</v>
      </c>
      <c r="AJ132" s="111"/>
    </row>
    <row r="133" spans="1:36" ht="18.75" x14ac:dyDescent="0.25">
      <c r="A133" s="105" t="s">
        <v>1177</v>
      </c>
      <c r="B133" s="112" t="s">
        <v>339</v>
      </c>
      <c r="C133" s="112" t="s">
        <v>339</v>
      </c>
      <c r="D133" s="105" t="s">
        <v>1559</v>
      </c>
      <c r="E133" s="105" t="s">
        <v>65</v>
      </c>
      <c r="F133" s="105" t="s">
        <v>1560</v>
      </c>
      <c r="G133" s="105" t="s">
        <v>1560</v>
      </c>
      <c r="H133" s="105" t="s">
        <v>1561</v>
      </c>
      <c r="I133" s="105" t="s">
        <v>1192</v>
      </c>
      <c r="J133" s="106">
        <v>45551</v>
      </c>
      <c r="K133" s="105"/>
      <c r="L133" s="105" t="s">
        <v>1181</v>
      </c>
      <c r="M133" s="105" t="s">
        <v>1182</v>
      </c>
      <c r="N133" s="106">
        <v>27861</v>
      </c>
      <c r="O133" s="119" t="s">
        <v>1150</v>
      </c>
      <c r="P133" s="105" t="s">
        <v>1183</v>
      </c>
      <c r="Q133" s="105" t="s">
        <v>1184</v>
      </c>
      <c r="R133" s="106">
        <v>44375</v>
      </c>
      <c r="S133" s="105" t="s">
        <v>1185</v>
      </c>
      <c r="T133" s="105" t="s">
        <v>1186</v>
      </c>
      <c r="U133" s="107" t="s">
        <v>1187</v>
      </c>
      <c r="V133" s="108">
        <v>45668</v>
      </c>
      <c r="W133">
        <v>3800405138</v>
      </c>
      <c r="X133" s="105" t="s">
        <v>1188</v>
      </c>
      <c r="Y133" s="109">
        <v>45861</v>
      </c>
      <c r="AB133" s="116" t="str">
        <f t="shared" si="10"/>
        <v>CÔNG TY CỔ PHẦN PHÁT TRIỂN HẠ TẦNG KỸ THUẬT BECAMEX - BÌNH PHƯỚC</v>
      </c>
      <c r="AC133" s="116" t="str">
        <f t="shared" si="11"/>
        <v>Căn 43 lô AM-16</v>
      </c>
      <c r="AD133" s="120">
        <f t="shared" si="12"/>
        <v>174</v>
      </c>
      <c r="AE133" s="121"/>
      <c r="AF133" s="113" t="s">
        <v>341</v>
      </c>
      <c r="AG133" s="111" t="s">
        <v>65</v>
      </c>
      <c r="AH133" s="111" t="s">
        <v>946</v>
      </c>
      <c r="AI133" s="104">
        <v>132</v>
      </c>
      <c r="AJ133" s="110"/>
    </row>
    <row r="134" spans="1:36" ht="18.75" x14ac:dyDescent="0.25">
      <c r="A134" s="105" t="s">
        <v>1177</v>
      </c>
      <c r="B134" s="112" t="s">
        <v>158</v>
      </c>
      <c r="C134" s="112" t="s">
        <v>158</v>
      </c>
      <c r="D134" s="105" t="s">
        <v>1562</v>
      </c>
      <c r="E134" s="105" t="s">
        <v>1563</v>
      </c>
      <c r="F134" s="105" t="s">
        <v>1564</v>
      </c>
      <c r="G134" s="105" t="s">
        <v>1564</v>
      </c>
      <c r="H134" s="105" t="s">
        <v>1565</v>
      </c>
      <c r="I134" s="105" t="s">
        <v>1205</v>
      </c>
      <c r="J134" s="106">
        <v>44519</v>
      </c>
      <c r="K134" s="105"/>
      <c r="L134" s="105" t="s">
        <v>1181</v>
      </c>
      <c r="M134" s="105" t="s">
        <v>1182</v>
      </c>
      <c r="N134" s="106">
        <v>27861</v>
      </c>
      <c r="O134" s="119" t="s">
        <v>1150</v>
      </c>
      <c r="P134" s="105" t="s">
        <v>1183</v>
      </c>
      <c r="Q134" s="105" t="s">
        <v>1184</v>
      </c>
      <c r="R134" s="106">
        <v>44375</v>
      </c>
      <c r="S134" s="105" t="s">
        <v>1185</v>
      </c>
      <c r="T134" s="105" t="s">
        <v>1186</v>
      </c>
      <c r="U134" s="107" t="s">
        <v>1187</v>
      </c>
      <c r="V134" s="108">
        <v>45668</v>
      </c>
      <c r="W134">
        <v>3800405138</v>
      </c>
      <c r="X134" s="105" t="s">
        <v>1188</v>
      </c>
      <c r="Y134" s="109">
        <v>45861</v>
      </c>
      <c r="AB134" s="116" t="str">
        <f t="shared" si="10"/>
        <v>CÔNG TY CỔ PHẦN PHÁT TRIỂN HẠ TẦNG KỸ THUẬT BECAMEX - BÌNH PHƯỚC</v>
      </c>
      <c r="AC134" s="116" t="str">
        <f t="shared" si="11"/>
        <v>Căn 10 lô TĐC-31</v>
      </c>
      <c r="AD134" s="120">
        <f t="shared" si="12"/>
        <v>49</v>
      </c>
      <c r="AE134" s="121"/>
      <c r="AF134" s="113" t="s">
        <v>360</v>
      </c>
      <c r="AG134" s="111" t="s">
        <v>65</v>
      </c>
      <c r="AH134" s="111" t="s">
        <v>947</v>
      </c>
      <c r="AI134" s="104">
        <v>133</v>
      </c>
      <c r="AJ134" s="110"/>
    </row>
    <row r="135" spans="1:36" ht="18.75" x14ac:dyDescent="0.25">
      <c r="A135" s="105" t="s">
        <v>1177</v>
      </c>
      <c r="B135" s="112" t="s">
        <v>226</v>
      </c>
      <c r="C135" s="112" t="s">
        <v>226</v>
      </c>
      <c r="D135" s="105" t="s">
        <v>1566</v>
      </c>
      <c r="E135" s="105" t="s">
        <v>65</v>
      </c>
      <c r="F135" s="105" t="s">
        <v>1567</v>
      </c>
      <c r="G135" s="105" t="s">
        <v>1567</v>
      </c>
      <c r="H135" s="105" t="s">
        <v>251</v>
      </c>
      <c r="I135" s="105" t="s">
        <v>1180</v>
      </c>
      <c r="J135" s="106">
        <v>45511</v>
      </c>
      <c r="K135" s="105"/>
      <c r="L135" s="105" t="s">
        <v>1181</v>
      </c>
      <c r="M135" s="105" t="s">
        <v>1182</v>
      </c>
      <c r="N135" s="106">
        <v>27861</v>
      </c>
      <c r="O135" s="119" t="s">
        <v>1150</v>
      </c>
      <c r="P135" s="105" t="s">
        <v>1183</v>
      </c>
      <c r="Q135" s="105" t="s">
        <v>1184</v>
      </c>
      <c r="R135" s="106">
        <v>44375</v>
      </c>
      <c r="S135" s="105" t="s">
        <v>1185</v>
      </c>
      <c r="T135" s="105" t="s">
        <v>1186</v>
      </c>
      <c r="U135" s="107" t="s">
        <v>1187</v>
      </c>
      <c r="V135" s="108">
        <v>45668</v>
      </c>
      <c r="W135">
        <v>3800405138</v>
      </c>
      <c r="X135" s="105" t="s">
        <v>1188</v>
      </c>
      <c r="Y135" s="109">
        <v>45861</v>
      </c>
      <c r="AB135" s="116" t="str">
        <f t="shared" si="10"/>
        <v>CÔNG TY CỔ PHẦN PHÁT TRIỂN HẠ TẦNG KỸ THUẬT BECAMEX - BÌNH PHƯỚC</v>
      </c>
      <c r="AC135" s="116" t="str">
        <f t="shared" si="11"/>
        <v>Căn 18 lô TĐC-44</v>
      </c>
      <c r="AD135" s="120">
        <f t="shared" si="12"/>
        <v>109</v>
      </c>
      <c r="AE135" s="121"/>
      <c r="AF135" s="113" t="s">
        <v>359</v>
      </c>
      <c r="AG135" s="111" t="s">
        <v>65</v>
      </c>
      <c r="AH135" s="111" t="s">
        <v>948</v>
      </c>
      <c r="AI135" s="104">
        <v>134</v>
      </c>
      <c r="AJ135" s="110"/>
    </row>
    <row r="136" spans="1:36" ht="18.75" x14ac:dyDescent="0.25">
      <c r="A136" s="105" t="s">
        <v>1177</v>
      </c>
      <c r="B136" s="112" t="s">
        <v>330</v>
      </c>
      <c r="C136" s="112" t="s">
        <v>330</v>
      </c>
      <c r="D136" s="105" t="s">
        <v>1568</v>
      </c>
      <c r="E136" s="105" t="s">
        <v>65</v>
      </c>
      <c r="F136" s="105" t="s">
        <v>1569</v>
      </c>
      <c r="G136" s="105" t="s">
        <v>1569</v>
      </c>
      <c r="H136" s="105" t="s">
        <v>1570</v>
      </c>
      <c r="I136" s="105" t="s">
        <v>1192</v>
      </c>
      <c r="J136" s="106">
        <v>45551</v>
      </c>
      <c r="K136" s="105"/>
      <c r="L136" s="105" t="s">
        <v>1181</v>
      </c>
      <c r="M136" s="105" t="s">
        <v>1182</v>
      </c>
      <c r="N136" s="106">
        <v>27861</v>
      </c>
      <c r="O136" s="119" t="s">
        <v>1150</v>
      </c>
      <c r="P136" s="105" t="s">
        <v>1183</v>
      </c>
      <c r="Q136" s="105" t="s">
        <v>1184</v>
      </c>
      <c r="R136" s="106">
        <v>44375</v>
      </c>
      <c r="S136" s="105" t="s">
        <v>1185</v>
      </c>
      <c r="T136" s="105" t="s">
        <v>1186</v>
      </c>
      <c r="U136" s="107" t="s">
        <v>1187</v>
      </c>
      <c r="V136" s="108">
        <v>45668</v>
      </c>
      <c r="W136">
        <v>3800405138</v>
      </c>
      <c r="X136" s="105" t="s">
        <v>1188</v>
      </c>
      <c r="Y136" s="109">
        <v>45861</v>
      </c>
      <c r="AB136" s="116" t="str">
        <f t="shared" si="10"/>
        <v>CÔNG TY CỔ PHẦN PHÁT TRIỂN HẠ TẦNG KỸ THUẬT BECAMEX - BÌNH PHƯỚC</v>
      </c>
      <c r="AC136" s="116" t="str">
        <f t="shared" si="11"/>
        <v>Căn 53 lô AM-16</v>
      </c>
      <c r="AD136" s="120">
        <f t="shared" si="12"/>
        <v>184</v>
      </c>
      <c r="AE136" s="121"/>
      <c r="AF136" s="113" t="s">
        <v>358</v>
      </c>
      <c r="AG136" s="111" t="s">
        <v>65</v>
      </c>
      <c r="AH136" s="111" t="s">
        <v>949</v>
      </c>
      <c r="AI136" s="104">
        <v>135</v>
      </c>
      <c r="AJ136" s="110"/>
    </row>
    <row r="137" spans="1:36" ht="18.75" x14ac:dyDescent="0.25">
      <c r="A137" s="105" t="s">
        <v>1177</v>
      </c>
      <c r="B137" s="112" t="s">
        <v>112</v>
      </c>
      <c r="C137" s="112" t="s">
        <v>112</v>
      </c>
      <c r="D137" s="105" t="s">
        <v>1571</v>
      </c>
      <c r="E137" s="105" t="s">
        <v>142</v>
      </c>
      <c r="F137" s="105" t="s">
        <v>1203</v>
      </c>
      <c r="G137" s="105" t="s">
        <v>1203</v>
      </c>
      <c r="H137" s="105" t="s">
        <v>1572</v>
      </c>
      <c r="I137" s="105" t="s">
        <v>1205</v>
      </c>
      <c r="J137" s="106">
        <v>45092</v>
      </c>
      <c r="K137" s="105"/>
      <c r="L137" s="105" t="s">
        <v>1181</v>
      </c>
      <c r="M137" s="105" t="s">
        <v>1182</v>
      </c>
      <c r="N137" s="106">
        <v>27861</v>
      </c>
      <c r="O137" s="119" t="s">
        <v>1150</v>
      </c>
      <c r="P137" s="105" t="s">
        <v>1183</v>
      </c>
      <c r="Q137" s="105" t="s">
        <v>1184</v>
      </c>
      <c r="R137" s="106">
        <v>44375</v>
      </c>
      <c r="S137" s="105" t="s">
        <v>1185</v>
      </c>
      <c r="T137" s="105" t="s">
        <v>1186</v>
      </c>
      <c r="U137" s="107" t="s">
        <v>1187</v>
      </c>
      <c r="V137" s="108">
        <v>45668</v>
      </c>
      <c r="W137">
        <v>3800405138</v>
      </c>
      <c r="X137" s="105" t="s">
        <v>1188</v>
      </c>
      <c r="Y137" s="109">
        <v>45861</v>
      </c>
      <c r="AB137" s="116" t="str">
        <f t="shared" si="10"/>
        <v>CÔNG TY CỔ PHẦN PHÁT TRIỂN HẠ TẦNG KỸ THUẬT BECAMEX-BÌNH PHƯỚC(54 Lô TDC-31)</v>
      </c>
      <c r="AC137" s="116" t="str">
        <f t="shared" si="11"/>
        <v>Căn 54 lô TĐC-31</v>
      </c>
      <c r="AD137" s="120">
        <f t="shared" si="12"/>
        <v>89</v>
      </c>
      <c r="AE137" s="121"/>
      <c r="AF137" s="113" t="s">
        <v>357</v>
      </c>
      <c r="AG137" s="111" t="s">
        <v>65</v>
      </c>
      <c r="AH137" s="111" t="s">
        <v>950</v>
      </c>
      <c r="AI137" s="104">
        <v>136</v>
      </c>
      <c r="AJ137" s="110"/>
    </row>
    <row r="138" spans="1:36" ht="18.75" x14ac:dyDescent="0.25">
      <c r="A138" s="105" t="s">
        <v>1177</v>
      </c>
      <c r="B138" s="112" t="s">
        <v>160</v>
      </c>
      <c r="C138" s="112" t="s">
        <v>160</v>
      </c>
      <c r="D138" s="105" t="s">
        <v>1573</v>
      </c>
      <c r="E138" s="105" t="s">
        <v>1574</v>
      </c>
      <c r="F138" s="105" t="s">
        <v>1575</v>
      </c>
      <c r="G138" s="105" t="s">
        <v>1575</v>
      </c>
      <c r="H138" s="105" t="s">
        <v>1576</v>
      </c>
      <c r="I138" s="105" t="s">
        <v>1205</v>
      </c>
      <c r="J138" s="106">
        <v>44519</v>
      </c>
      <c r="K138" s="105"/>
      <c r="L138" s="105" t="s">
        <v>1181</v>
      </c>
      <c r="M138" s="105" t="s">
        <v>1182</v>
      </c>
      <c r="N138" s="106">
        <v>27861</v>
      </c>
      <c r="O138" s="119" t="s">
        <v>1150</v>
      </c>
      <c r="P138" s="105" t="s">
        <v>1183</v>
      </c>
      <c r="Q138" s="105" t="s">
        <v>1184</v>
      </c>
      <c r="R138" s="106">
        <v>44375</v>
      </c>
      <c r="S138" s="105" t="s">
        <v>1185</v>
      </c>
      <c r="T138" s="105" t="s">
        <v>1186</v>
      </c>
      <c r="U138" s="107" t="s">
        <v>1187</v>
      </c>
      <c r="V138" s="108">
        <v>45668</v>
      </c>
      <c r="W138">
        <v>3800405138</v>
      </c>
      <c r="X138" s="105" t="s">
        <v>1188</v>
      </c>
      <c r="Y138" s="109">
        <v>45861</v>
      </c>
      <c r="AB138" s="116" t="str">
        <f t="shared" si="10"/>
        <v>CÔNG TY CỔ PHẦN PHÁT TRIỂN HẠ TẦNG KỸ THUẬT BECAMEX - BÌNH PHƯỚC</v>
      </c>
      <c r="AC138" s="116" t="str">
        <f t="shared" si="11"/>
        <v>Căn 12 lô TĐC-31</v>
      </c>
      <c r="AD138" s="120">
        <f t="shared" si="12"/>
        <v>51</v>
      </c>
      <c r="AE138" s="121"/>
      <c r="AF138" s="113" t="s">
        <v>356</v>
      </c>
      <c r="AG138" s="111" t="s">
        <v>65</v>
      </c>
      <c r="AH138" s="111" t="s">
        <v>951</v>
      </c>
      <c r="AI138" s="104">
        <v>137</v>
      </c>
      <c r="AJ138" s="110"/>
    </row>
    <row r="139" spans="1:36" ht="18.75" x14ac:dyDescent="0.25">
      <c r="A139" s="105" t="s">
        <v>1177</v>
      </c>
      <c r="B139" s="112" t="s">
        <v>336</v>
      </c>
      <c r="C139" s="112" t="s">
        <v>336</v>
      </c>
      <c r="D139" s="105" t="s">
        <v>1577</v>
      </c>
      <c r="E139" s="105" t="s">
        <v>65</v>
      </c>
      <c r="F139" s="105" t="s">
        <v>1578</v>
      </c>
      <c r="G139" s="105" t="s">
        <v>1578</v>
      </c>
      <c r="H139" s="105" t="s">
        <v>1579</v>
      </c>
      <c r="I139" s="105" t="s">
        <v>1192</v>
      </c>
      <c r="J139" s="106">
        <v>45551</v>
      </c>
      <c r="K139" s="105"/>
      <c r="L139" s="105" t="s">
        <v>1181</v>
      </c>
      <c r="M139" s="105" t="s">
        <v>1182</v>
      </c>
      <c r="N139" s="106">
        <v>27861</v>
      </c>
      <c r="O139" s="119" t="s">
        <v>1150</v>
      </c>
      <c r="P139" s="105" t="s">
        <v>1183</v>
      </c>
      <c r="Q139" s="105" t="s">
        <v>1184</v>
      </c>
      <c r="R139" s="106">
        <v>44375</v>
      </c>
      <c r="S139" s="105" t="s">
        <v>1185</v>
      </c>
      <c r="T139" s="105" t="s">
        <v>1186</v>
      </c>
      <c r="U139" s="107" t="s">
        <v>1187</v>
      </c>
      <c r="V139" s="108">
        <v>45668</v>
      </c>
      <c r="W139">
        <v>3800405138</v>
      </c>
      <c r="X139" s="105" t="s">
        <v>1188</v>
      </c>
      <c r="Y139" s="109">
        <v>45861</v>
      </c>
      <c r="AB139" s="116" t="str">
        <f t="shared" si="10"/>
        <v>CÔNG TY CỔ PHẦN PHÁT TRIỂN HẠ TẦNG KỸ THUẬT BECAMEX - BÌNH PHƯỚC</v>
      </c>
      <c r="AC139" s="116" t="str">
        <f t="shared" si="11"/>
        <v>Căn 47 lô AM-16</v>
      </c>
      <c r="AD139" s="120">
        <f t="shared" si="12"/>
        <v>178</v>
      </c>
      <c r="AE139" s="121"/>
      <c r="AF139" s="113" t="s">
        <v>355</v>
      </c>
      <c r="AG139" s="111" t="s">
        <v>65</v>
      </c>
      <c r="AH139" s="111" t="s">
        <v>952</v>
      </c>
      <c r="AI139" s="104">
        <v>138</v>
      </c>
      <c r="AJ139" s="110"/>
    </row>
    <row r="140" spans="1:36" ht="18.75" x14ac:dyDescent="0.25">
      <c r="A140" s="105" t="s">
        <v>1177</v>
      </c>
      <c r="B140" s="112" t="s">
        <v>214</v>
      </c>
      <c r="C140" s="112" t="s">
        <v>214</v>
      </c>
      <c r="D140" s="105" t="s">
        <v>1580</v>
      </c>
      <c r="E140" s="105" t="s">
        <v>65</v>
      </c>
      <c r="F140" s="105" t="s">
        <v>1581</v>
      </c>
      <c r="G140" s="105" t="s">
        <v>1581</v>
      </c>
      <c r="H140" s="105" t="s">
        <v>239</v>
      </c>
      <c r="I140" s="105" t="s">
        <v>1180</v>
      </c>
      <c r="J140" s="106">
        <v>45511</v>
      </c>
      <c r="K140" s="105"/>
      <c r="L140" s="105" t="s">
        <v>1181</v>
      </c>
      <c r="M140" s="105" t="s">
        <v>1182</v>
      </c>
      <c r="N140" s="106">
        <v>27861</v>
      </c>
      <c r="O140" s="119" t="s">
        <v>1150</v>
      </c>
      <c r="P140" s="105" t="s">
        <v>1183</v>
      </c>
      <c r="Q140" s="105" t="s">
        <v>1184</v>
      </c>
      <c r="R140" s="106">
        <v>44375</v>
      </c>
      <c r="S140" s="105" t="s">
        <v>1185</v>
      </c>
      <c r="T140" s="105" t="s">
        <v>1186</v>
      </c>
      <c r="U140" s="107" t="s">
        <v>1187</v>
      </c>
      <c r="V140" s="108">
        <v>45668</v>
      </c>
      <c r="W140">
        <v>3800405138</v>
      </c>
      <c r="X140" s="105" t="s">
        <v>1188</v>
      </c>
      <c r="Y140" s="109">
        <v>45861</v>
      </c>
      <c r="AB140" s="116" t="str">
        <f t="shared" si="10"/>
        <v>CÔNG TY CỔ PHẦN PHÁT TRIỂN HẠ TẦNG KỸ THUẬT BECAMEX - BÌNH PHƯỚC</v>
      </c>
      <c r="AC140" s="116" t="str">
        <f t="shared" si="11"/>
        <v>Căn 6 lô TĐC-44</v>
      </c>
      <c r="AD140" s="120">
        <f t="shared" si="12"/>
        <v>97</v>
      </c>
      <c r="AE140" s="121"/>
      <c r="AF140" s="113" t="s">
        <v>354</v>
      </c>
      <c r="AG140" s="111" t="s">
        <v>65</v>
      </c>
      <c r="AH140" s="111" t="s">
        <v>953</v>
      </c>
      <c r="AI140" s="104">
        <v>139</v>
      </c>
      <c r="AJ140" s="110"/>
    </row>
    <row r="141" spans="1:36" ht="18.75" x14ac:dyDescent="0.25">
      <c r="A141" s="105" t="s">
        <v>1177</v>
      </c>
      <c r="B141" s="112" t="s">
        <v>230</v>
      </c>
      <c r="C141" s="112" t="s">
        <v>230</v>
      </c>
      <c r="D141" s="105" t="s">
        <v>1582</v>
      </c>
      <c r="E141" s="105" t="s">
        <v>65</v>
      </c>
      <c r="F141" s="105" t="s">
        <v>1583</v>
      </c>
      <c r="G141" s="105" t="s">
        <v>1583</v>
      </c>
      <c r="H141" s="105" t="s">
        <v>255</v>
      </c>
      <c r="I141" s="105" t="s">
        <v>1180</v>
      </c>
      <c r="J141" s="106">
        <v>45511</v>
      </c>
      <c r="K141" s="105"/>
      <c r="L141" s="105" t="s">
        <v>1181</v>
      </c>
      <c r="M141" s="105" t="s">
        <v>1182</v>
      </c>
      <c r="N141" s="106">
        <v>27861</v>
      </c>
      <c r="O141" s="119" t="s">
        <v>1150</v>
      </c>
      <c r="P141" s="105" t="s">
        <v>1183</v>
      </c>
      <c r="Q141" s="105" t="s">
        <v>1184</v>
      </c>
      <c r="R141" s="106">
        <v>44375</v>
      </c>
      <c r="S141" s="105" t="s">
        <v>1185</v>
      </c>
      <c r="T141" s="105" t="s">
        <v>1186</v>
      </c>
      <c r="U141" s="107" t="s">
        <v>1187</v>
      </c>
      <c r="V141" s="108">
        <v>45668</v>
      </c>
      <c r="W141">
        <v>3800405138</v>
      </c>
      <c r="X141" s="105" t="s">
        <v>1188</v>
      </c>
      <c r="Y141" s="109">
        <v>45861</v>
      </c>
      <c r="AB141" s="116" t="str">
        <f t="shared" si="10"/>
        <v>CÔNG TY CỔ PHẦN PHÁT TRIỂN HẠ TẦNG KỸ THUẬT BECAMEX - BÌNH PHƯỚC</v>
      </c>
      <c r="AC141" s="116" t="str">
        <f t="shared" si="11"/>
        <v>Căn 22 lô TĐC-44</v>
      </c>
      <c r="AD141" s="120">
        <f t="shared" si="12"/>
        <v>113</v>
      </c>
      <c r="AE141" s="121"/>
      <c r="AF141" s="113" t="s">
        <v>353</v>
      </c>
      <c r="AG141" s="111" t="s">
        <v>65</v>
      </c>
      <c r="AH141" s="111" t="s">
        <v>954</v>
      </c>
      <c r="AI141" s="104">
        <v>140</v>
      </c>
      <c r="AJ141" s="110"/>
    </row>
    <row r="142" spans="1:36" ht="18.75" x14ac:dyDescent="0.25">
      <c r="A142" s="105" t="s">
        <v>1177</v>
      </c>
      <c r="B142" s="112" t="s">
        <v>90</v>
      </c>
      <c r="C142" s="112" t="s">
        <v>90</v>
      </c>
      <c r="D142" s="105" t="s">
        <v>1584</v>
      </c>
      <c r="E142" s="105" t="s">
        <v>120</v>
      </c>
      <c r="F142" s="105" t="s">
        <v>1203</v>
      </c>
      <c r="G142" s="105" t="s">
        <v>1203</v>
      </c>
      <c r="H142" s="105" t="s">
        <v>1585</v>
      </c>
      <c r="I142" s="105" t="s">
        <v>1205</v>
      </c>
      <c r="J142" s="106">
        <v>45090</v>
      </c>
      <c r="K142" s="105"/>
      <c r="L142" s="105" t="s">
        <v>1181</v>
      </c>
      <c r="M142" s="105" t="s">
        <v>1182</v>
      </c>
      <c r="N142" s="106">
        <v>27861</v>
      </c>
      <c r="O142" s="119" t="s">
        <v>1150</v>
      </c>
      <c r="P142" s="105" t="s">
        <v>1183</v>
      </c>
      <c r="Q142" s="105" t="s">
        <v>1184</v>
      </c>
      <c r="R142" s="106">
        <v>44375</v>
      </c>
      <c r="S142" s="105" t="s">
        <v>1185</v>
      </c>
      <c r="T142" s="105" t="s">
        <v>1186</v>
      </c>
      <c r="U142" s="107" t="s">
        <v>1187</v>
      </c>
      <c r="V142" s="108">
        <v>45668</v>
      </c>
      <c r="W142">
        <v>3800405138</v>
      </c>
      <c r="X142" s="105" t="s">
        <v>1188</v>
      </c>
      <c r="Y142" s="109">
        <v>45861</v>
      </c>
      <c r="AB142" s="116" t="str">
        <f t="shared" si="10"/>
        <v>CÔNG TY CỔ PHẦN PHÁT TRIỂN HẠ TẦNG KỸ THUẬT BECAMEX-BÌNH PHƯỚC(31 Lô TDC-31)</v>
      </c>
      <c r="AC142" s="116" t="str">
        <f t="shared" si="11"/>
        <v>Căn 31 lô TĐC-31</v>
      </c>
      <c r="AD142" s="120">
        <f t="shared" si="12"/>
        <v>66</v>
      </c>
      <c r="AE142" s="121"/>
      <c r="AF142" s="113" t="s">
        <v>352</v>
      </c>
      <c r="AG142" s="111" t="s">
        <v>65</v>
      </c>
      <c r="AH142" s="111" t="s">
        <v>955</v>
      </c>
      <c r="AI142" s="104">
        <v>141</v>
      </c>
      <c r="AJ142" s="110"/>
    </row>
    <row r="143" spans="1:36" ht="18.75" x14ac:dyDescent="0.25">
      <c r="A143" s="105" t="s">
        <v>1177</v>
      </c>
      <c r="B143" s="142" t="s">
        <v>1586</v>
      </c>
      <c r="C143" s="112" t="s">
        <v>1586</v>
      </c>
      <c r="D143" s="105" t="s">
        <v>1587</v>
      </c>
      <c r="E143" s="105" t="s">
        <v>1208</v>
      </c>
      <c r="F143" s="119" t="s">
        <v>1728</v>
      </c>
      <c r="G143" s="105" t="s">
        <v>1203</v>
      </c>
      <c r="H143" s="105" t="s">
        <v>1588</v>
      </c>
      <c r="I143" s="143" t="s">
        <v>1210</v>
      </c>
      <c r="J143" s="106">
        <v>45652</v>
      </c>
      <c r="K143" s="105"/>
      <c r="L143" s="105" t="s">
        <v>1181</v>
      </c>
      <c r="M143" s="105" t="s">
        <v>1182</v>
      </c>
      <c r="N143" s="106">
        <v>27861</v>
      </c>
      <c r="O143" s="119" t="s">
        <v>1150</v>
      </c>
      <c r="P143" s="105" t="s">
        <v>1183</v>
      </c>
      <c r="Q143" s="105" t="s">
        <v>1184</v>
      </c>
      <c r="R143" s="106">
        <v>44375</v>
      </c>
      <c r="S143" s="105" t="s">
        <v>1185</v>
      </c>
      <c r="T143" s="105" t="s">
        <v>1186</v>
      </c>
      <c r="U143" s="107" t="s">
        <v>1187</v>
      </c>
      <c r="V143" s="108">
        <v>45668</v>
      </c>
      <c r="W143">
        <v>3800405138</v>
      </c>
      <c r="X143" s="105" t="s">
        <v>1188</v>
      </c>
      <c r="Y143" s="109">
        <v>45861</v>
      </c>
      <c r="AB143" s="126" t="e">
        <f t="shared" si="10"/>
        <v>#N/A</v>
      </c>
      <c r="AC143" s="126" t="e">
        <f t="shared" si="11"/>
        <v>#N/A</v>
      </c>
      <c r="AD143" s="144" t="e">
        <f t="shared" si="12"/>
        <v>#N/A</v>
      </c>
      <c r="AE143" s="121"/>
      <c r="AF143" s="113" t="s">
        <v>351</v>
      </c>
      <c r="AG143" s="111" t="s">
        <v>65</v>
      </c>
      <c r="AH143" s="111" t="s">
        <v>956</v>
      </c>
      <c r="AI143" s="104">
        <v>142</v>
      </c>
      <c r="AJ143" s="110"/>
    </row>
    <row r="144" spans="1:36" ht="18.75" x14ac:dyDescent="0.25">
      <c r="A144" s="105" t="s">
        <v>1177</v>
      </c>
      <c r="B144" s="112" t="s">
        <v>233</v>
      </c>
      <c r="C144" s="112" t="s">
        <v>233</v>
      </c>
      <c r="D144" s="105" t="s">
        <v>1589</v>
      </c>
      <c r="E144" s="105" t="s">
        <v>65</v>
      </c>
      <c r="F144" s="105" t="s">
        <v>1590</v>
      </c>
      <c r="G144" s="105" t="s">
        <v>1590</v>
      </c>
      <c r="H144" s="105" t="s">
        <v>258</v>
      </c>
      <c r="I144" s="105" t="s">
        <v>1180</v>
      </c>
      <c r="J144" s="106">
        <v>45511</v>
      </c>
      <c r="K144" s="105"/>
      <c r="L144" s="105" t="s">
        <v>1181</v>
      </c>
      <c r="M144" s="105" t="s">
        <v>1182</v>
      </c>
      <c r="N144" s="106">
        <v>27861</v>
      </c>
      <c r="O144" s="119" t="s">
        <v>1150</v>
      </c>
      <c r="P144" s="105" t="s">
        <v>1183</v>
      </c>
      <c r="Q144" s="105" t="s">
        <v>1184</v>
      </c>
      <c r="R144" s="106">
        <v>44375</v>
      </c>
      <c r="S144" s="105" t="s">
        <v>1185</v>
      </c>
      <c r="T144" s="105" t="s">
        <v>1186</v>
      </c>
      <c r="U144" s="107" t="s">
        <v>1187</v>
      </c>
      <c r="V144" s="108">
        <v>45668</v>
      </c>
      <c r="W144">
        <v>3800405138</v>
      </c>
      <c r="X144" s="105" t="s">
        <v>1188</v>
      </c>
      <c r="Y144" s="109">
        <v>45861</v>
      </c>
      <c r="AB144" s="116" t="str">
        <f t="shared" si="10"/>
        <v>CÔNG TY CỔ PHẦN PHÁT TRIỂN HẠ TẦNG KỸ THUẬT BECAMEX - BÌNH PHƯỚC</v>
      </c>
      <c r="AC144" s="116" t="str">
        <f t="shared" si="11"/>
        <v>Căn 25 lô TĐC-44</v>
      </c>
      <c r="AD144" s="120">
        <f t="shared" si="12"/>
        <v>116</v>
      </c>
      <c r="AE144" s="121"/>
      <c r="AF144" s="113" t="s">
        <v>350</v>
      </c>
      <c r="AG144" s="111" t="s">
        <v>65</v>
      </c>
      <c r="AH144" s="111" t="s">
        <v>957</v>
      </c>
      <c r="AI144" s="104">
        <v>143</v>
      </c>
      <c r="AJ144" s="110"/>
    </row>
    <row r="145" spans="1:36" ht="18.75" x14ac:dyDescent="0.25">
      <c r="A145" s="105" t="s">
        <v>1177</v>
      </c>
      <c r="B145" s="142" t="s">
        <v>1591</v>
      </c>
      <c r="C145" s="112" t="s">
        <v>1591</v>
      </c>
      <c r="D145" s="105" t="s">
        <v>1592</v>
      </c>
      <c r="E145" s="105" t="s">
        <v>1208</v>
      </c>
      <c r="F145" s="119" t="s">
        <v>1729</v>
      </c>
      <c r="G145" s="105" t="s">
        <v>1203</v>
      </c>
      <c r="H145" s="105" t="s">
        <v>1593</v>
      </c>
      <c r="I145" s="143" t="s">
        <v>1210</v>
      </c>
      <c r="J145" s="106">
        <v>45652</v>
      </c>
      <c r="K145" s="105"/>
      <c r="L145" s="105" t="s">
        <v>1181</v>
      </c>
      <c r="M145" s="105" t="s">
        <v>1182</v>
      </c>
      <c r="N145" s="106">
        <v>27861</v>
      </c>
      <c r="O145" s="119" t="s">
        <v>1150</v>
      </c>
      <c r="P145" s="105" t="s">
        <v>1183</v>
      </c>
      <c r="Q145" s="105" t="s">
        <v>1184</v>
      </c>
      <c r="R145" s="106">
        <v>44375</v>
      </c>
      <c r="S145" s="105" t="s">
        <v>1185</v>
      </c>
      <c r="T145" s="105" t="s">
        <v>1186</v>
      </c>
      <c r="U145" s="107" t="s">
        <v>1187</v>
      </c>
      <c r="V145" s="108">
        <v>45668</v>
      </c>
      <c r="W145">
        <v>3800405138</v>
      </c>
      <c r="X145" s="105" t="s">
        <v>1188</v>
      </c>
      <c r="Y145" s="109">
        <v>45861</v>
      </c>
      <c r="AB145" s="126" t="e">
        <f t="shared" si="10"/>
        <v>#N/A</v>
      </c>
      <c r="AC145" s="126" t="e">
        <f t="shared" si="11"/>
        <v>#N/A</v>
      </c>
      <c r="AD145" s="144" t="e">
        <f t="shared" si="12"/>
        <v>#N/A</v>
      </c>
      <c r="AE145" s="121"/>
      <c r="AF145" s="113" t="s">
        <v>349</v>
      </c>
      <c r="AG145" s="111" t="s">
        <v>65</v>
      </c>
      <c r="AH145" s="111" t="s">
        <v>958</v>
      </c>
      <c r="AI145" s="104">
        <v>144</v>
      </c>
      <c r="AJ145" s="110"/>
    </row>
    <row r="146" spans="1:36" ht="18.75" x14ac:dyDescent="0.25">
      <c r="A146" s="105" t="s">
        <v>1177</v>
      </c>
      <c r="B146" s="142" t="s">
        <v>1594</v>
      </c>
      <c r="C146" s="112" t="s">
        <v>1594</v>
      </c>
      <c r="D146" s="105" t="s">
        <v>1595</v>
      </c>
      <c r="E146" s="105" t="s">
        <v>1208</v>
      </c>
      <c r="F146" s="119" t="s">
        <v>1730</v>
      </c>
      <c r="G146" s="105" t="s">
        <v>1203</v>
      </c>
      <c r="H146" s="105" t="s">
        <v>1596</v>
      </c>
      <c r="I146" s="143" t="s">
        <v>1210</v>
      </c>
      <c r="J146" s="106">
        <v>45652</v>
      </c>
      <c r="K146" s="105"/>
      <c r="L146" s="105" t="s">
        <v>1181</v>
      </c>
      <c r="M146" s="105" t="s">
        <v>1182</v>
      </c>
      <c r="N146" s="106">
        <v>27861</v>
      </c>
      <c r="O146" s="119" t="s">
        <v>1150</v>
      </c>
      <c r="P146" s="105" t="s">
        <v>1183</v>
      </c>
      <c r="Q146" s="105" t="s">
        <v>1184</v>
      </c>
      <c r="R146" s="106">
        <v>44375</v>
      </c>
      <c r="S146" s="105" t="s">
        <v>1185</v>
      </c>
      <c r="T146" s="105" t="s">
        <v>1186</v>
      </c>
      <c r="U146" s="107" t="s">
        <v>1187</v>
      </c>
      <c r="V146" s="108">
        <v>45668</v>
      </c>
      <c r="W146">
        <v>3800405138</v>
      </c>
      <c r="X146" s="105" t="s">
        <v>1188</v>
      </c>
      <c r="Y146" s="109">
        <v>45861</v>
      </c>
      <c r="AB146" s="126" t="e">
        <f t="shared" si="10"/>
        <v>#N/A</v>
      </c>
      <c r="AC146" s="126" t="e">
        <f t="shared" si="11"/>
        <v>#N/A</v>
      </c>
      <c r="AD146" s="144" t="e">
        <f t="shared" si="12"/>
        <v>#N/A</v>
      </c>
      <c r="AE146" s="121"/>
      <c r="AF146" s="113" t="s">
        <v>348</v>
      </c>
      <c r="AG146" s="111" t="s">
        <v>65</v>
      </c>
      <c r="AH146" s="111" t="s">
        <v>959</v>
      </c>
      <c r="AI146" s="104">
        <v>145</v>
      </c>
      <c r="AJ146" s="110"/>
    </row>
    <row r="147" spans="1:36" ht="18.75" x14ac:dyDescent="0.25">
      <c r="A147" s="105" t="s">
        <v>1177</v>
      </c>
      <c r="B147" s="112" t="s">
        <v>335</v>
      </c>
      <c r="C147" s="112" t="s">
        <v>335</v>
      </c>
      <c r="D147" s="105" t="s">
        <v>1597</v>
      </c>
      <c r="E147" s="105" t="s">
        <v>65</v>
      </c>
      <c r="F147" s="105" t="s">
        <v>1598</v>
      </c>
      <c r="G147" s="105" t="s">
        <v>1598</v>
      </c>
      <c r="H147" s="105" t="s">
        <v>1599</v>
      </c>
      <c r="I147" s="105" t="s">
        <v>1192</v>
      </c>
      <c r="J147" s="106">
        <v>45551</v>
      </c>
      <c r="K147" s="105"/>
      <c r="L147" s="105" t="s">
        <v>1181</v>
      </c>
      <c r="M147" s="105" t="s">
        <v>1182</v>
      </c>
      <c r="N147" s="106">
        <v>27861</v>
      </c>
      <c r="O147" s="119" t="s">
        <v>1150</v>
      </c>
      <c r="P147" s="105" t="s">
        <v>1183</v>
      </c>
      <c r="Q147" s="105" t="s">
        <v>1184</v>
      </c>
      <c r="R147" s="106">
        <v>44375</v>
      </c>
      <c r="S147" s="105" t="s">
        <v>1185</v>
      </c>
      <c r="T147" s="105" t="s">
        <v>1186</v>
      </c>
      <c r="U147" s="107" t="s">
        <v>1187</v>
      </c>
      <c r="V147" s="108">
        <v>45668</v>
      </c>
      <c r="W147">
        <v>3800405138</v>
      </c>
      <c r="X147" s="105" t="s">
        <v>1188</v>
      </c>
      <c r="Y147" s="109">
        <v>45861</v>
      </c>
      <c r="AB147" s="116" t="str">
        <f t="shared" si="10"/>
        <v>CÔNG TY CỔ PHẦN PHÁT TRIỂN HẠ TẦNG KỸ THUẬT BECAMEX - BÌNH PHƯỚC</v>
      </c>
      <c r="AC147" s="116" t="str">
        <f t="shared" si="11"/>
        <v>Căn 48 lô AM-16</v>
      </c>
      <c r="AD147" s="120">
        <f t="shared" si="12"/>
        <v>179</v>
      </c>
      <c r="AE147" s="121"/>
      <c r="AF147" s="113" t="s">
        <v>347</v>
      </c>
      <c r="AG147" s="111" t="s">
        <v>65</v>
      </c>
      <c r="AH147" s="111" t="s">
        <v>960</v>
      </c>
      <c r="AI147" s="104">
        <v>146</v>
      </c>
      <c r="AJ147" s="110"/>
    </row>
    <row r="148" spans="1:36" ht="18.75" x14ac:dyDescent="0.25">
      <c r="A148" s="105" t="s">
        <v>1177</v>
      </c>
      <c r="B148" s="112" t="s">
        <v>633</v>
      </c>
      <c r="C148" s="112" t="s">
        <v>633</v>
      </c>
      <c r="D148" s="105" t="s">
        <v>1600</v>
      </c>
      <c r="E148" s="105" t="s">
        <v>65</v>
      </c>
      <c r="F148" s="105" t="s">
        <v>1601</v>
      </c>
      <c r="G148" s="105" t="s">
        <v>1601</v>
      </c>
      <c r="H148" s="105" t="s">
        <v>1602</v>
      </c>
      <c r="I148" s="105" t="s">
        <v>1192</v>
      </c>
      <c r="J148" s="106">
        <v>45549</v>
      </c>
      <c r="K148" s="105"/>
      <c r="L148" s="105" t="s">
        <v>1181</v>
      </c>
      <c r="M148" s="105" t="s">
        <v>1182</v>
      </c>
      <c r="N148" s="106">
        <v>27861</v>
      </c>
      <c r="O148" s="119" t="s">
        <v>1150</v>
      </c>
      <c r="P148" s="105" t="s">
        <v>1183</v>
      </c>
      <c r="Q148" s="105" t="s">
        <v>1184</v>
      </c>
      <c r="R148" s="106">
        <v>44375</v>
      </c>
      <c r="S148" s="105" t="s">
        <v>1185</v>
      </c>
      <c r="T148" s="105" t="s">
        <v>1186</v>
      </c>
      <c r="U148" s="107" t="s">
        <v>1187</v>
      </c>
      <c r="V148" s="108">
        <v>45668</v>
      </c>
      <c r="W148">
        <v>3800405138</v>
      </c>
      <c r="X148" s="105" t="s">
        <v>1188</v>
      </c>
      <c r="Y148" s="109">
        <v>45861</v>
      </c>
      <c r="AB148" s="116" t="str">
        <f t="shared" si="10"/>
        <v>CÔNG TY CỔ PHẦN PHÁT TRIỂN HẠ TẦNG KỸ THUẬT BECAMEX - BÌNH PHƯỚC</v>
      </c>
      <c r="AC148" s="116" t="str">
        <f t="shared" si="11"/>
        <v>Căn 34 lô AM-16</v>
      </c>
      <c r="AD148" s="120">
        <f t="shared" si="12"/>
        <v>165</v>
      </c>
      <c r="AE148" s="121"/>
      <c r="AF148" s="113" t="s">
        <v>346</v>
      </c>
      <c r="AG148" s="111" t="s">
        <v>65</v>
      </c>
      <c r="AH148" s="111" t="s">
        <v>961</v>
      </c>
      <c r="AI148" s="104">
        <v>147</v>
      </c>
      <c r="AJ148" s="110"/>
    </row>
    <row r="149" spans="1:36" ht="18.75" x14ac:dyDescent="0.25">
      <c r="A149" s="105" t="s">
        <v>1177</v>
      </c>
      <c r="B149" s="112" t="s">
        <v>184</v>
      </c>
      <c r="C149" s="112" t="s">
        <v>184</v>
      </c>
      <c r="D149" s="105" t="s">
        <v>1603</v>
      </c>
      <c r="E149" s="105" t="s">
        <v>65</v>
      </c>
      <c r="F149" s="105" t="s">
        <v>1604</v>
      </c>
      <c r="G149" s="105" t="s">
        <v>1604</v>
      </c>
      <c r="H149" s="105" t="s">
        <v>191</v>
      </c>
      <c r="I149" s="105" t="s">
        <v>1192</v>
      </c>
      <c r="J149" s="106">
        <v>45457</v>
      </c>
      <c r="K149" s="105"/>
      <c r="L149" s="105" t="s">
        <v>1181</v>
      </c>
      <c r="M149" s="105" t="s">
        <v>1182</v>
      </c>
      <c r="N149" s="106">
        <v>27861</v>
      </c>
      <c r="O149" s="119" t="s">
        <v>1150</v>
      </c>
      <c r="P149" s="105" t="s">
        <v>1183</v>
      </c>
      <c r="Q149" s="105" t="s">
        <v>1184</v>
      </c>
      <c r="R149" s="106">
        <v>44375</v>
      </c>
      <c r="S149" s="105" t="s">
        <v>1185</v>
      </c>
      <c r="T149" s="105" t="s">
        <v>1186</v>
      </c>
      <c r="U149" s="107" t="s">
        <v>1187</v>
      </c>
      <c r="V149" s="108">
        <v>45668</v>
      </c>
      <c r="W149">
        <v>3800405138</v>
      </c>
      <c r="X149" s="105" t="s">
        <v>1188</v>
      </c>
      <c r="Y149" s="109">
        <v>45861</v>
      </c>
      <c r="AB149" s="116" t="str">
        <f t="shared" si="10"/>
        <v>CÔNG TY CỔ PHẦN PHÁT TRIỂN HẠ TẦNG KỸ THUẬT BECAMEX - BÌNH PHƯỚC</v>
      </c>
      <c r="AC149" s="116" t="str">
        <f t="shared" si="11"/>
        <v>Căn 81 lô AM-16</v>
      </c>
      <c r="AD149" s="120">
        <f t="shared" si="12"/>
        <v>212</v>
      </c>
      <c r="AE149" s="121"/>
      <c r="AF149" s="113" t="s">
        <v>345</v>
      </c>
      <c r="AG149" s="111" t="s">
        <v>65</v>
      </c>
      <c r="AH149" s="111" t="s">
        <v>962</v>
      </c>
      <c r="AI149" s="104">
        <v>148</v>
      </c>
      <c r="AJ149" s="110"/>
    </row>
    <row r="150" spans="1:36" ht="18.75" x14ac:dyDescent="0.25">
      <c r="A150" s="105" t="s">
        <v>1177</v>
      </c>
      <c r="B150" s="112" t="s">
        <v>162</v>
      </c>
      <c r="C150" s="112" t="s">
        <v>162</v>
      </c>
      <c r="D150" s="105" t="s">
        <v>1605</v>
      </c>
      <c r="E150" s="105" t="s">
        <v>1606</v>
      </c>
      <c r="F150" s="105" t="s">
        <v>1607</v>
      </c>
      <c r="G150" s="105" t="s">
        <v>1607</v>
      </c>
      <c r="H150" s="105" t="s">
        <v>1608</v>
      </c>
      <c r="I150" s="105" t="s">
        <v>1205</v>
      </c>
      <c r="J150" s="106">
        <v>44519</v>
      </c>
      <c r="K150" s="105"/>
      <c r="L150" s="105" t="s">
        <v>1181</v>
      </c>
      <c r="M150" s="105" t="s">
        <v>1182</v>
      </c>
      <c r="N150" s="106">
        <v>27861</v>
      </c>
      <c r="O150" s="119" t="s">
        <v>1150</v>
      </c>
      <c r="P150" s="105" t="s">
        <v>1183</v>
      </c>
      <c r="Q150" s="105" t="s">
        <v>1184</v>
      </c>
      <c r="R150" s="106">
        <v>44375</v>
      </c>
      <c r="S150" s="105" t="s">
        <v>1185</v>
      </c>
      <c r="T150" s="105" t="s">
        <v>1186</v>
      </c>
      <c r="U150" s="107" t="s">
        <v>1187</v>
      </c>
      <c r="V150" s="108">
        <v>45668</v>
      </c>
      <c r="W150">
        <v>3800405138</v>
      </c>
      <c r="X150" s="105" t="s">
        <v>1188</v>
      </c>
      <c r="Y150" s="109">
        <v>45861</v>
      </c>
      <c r="AB150" s="116" t="str">
        <f t="shared" si="10"/>
        <v>CÔNG TY CỔ PHẦN PHÁT TRIỂN HẠ TẦNG KỸ THUẬT BECAMEX - BÌNH PHƯỚC</v>
      </c>
      <c r="AC150" s="116" t="str">
        <f t="shared" si="11"/>
        <v>Căn 14 lô TĐC-31</v>
      </c>
      <c r="AD150" s="120">
        <f t="shared" si="12"/>
        <v>53</v>
      </c>
      <c r="AE150" s="121"/>
      <c r="AF150" s="113" t="s">
        <v>344</v>
      </c>
      <c r="AG150" s="111" t="s">
        <v>65</v>
      </c>
      <c r="AH150" s="111" t="s">
        <v>963</v>
      </c>
      <c r="AI150" s="104">
        <v>149</v>
      </c>
      <c r="AJ150" s="110"/>
    </row>
    <row r="151" spans="1:36" ht="18.75" x14ac:dyDescent="0.25">
      <c r="A151" s="105" t="s">
        <v>1177</v>
      </c>
      <c r="B151" s="112" t="s">
        <v>324</v>
      </c>
      <c r="C151" s="112" t="s">
        <v>324</v>
      </c>
      <c r="D151" s="105" t="s">
        <v>1609</v>
      </c>
      <c r="E151" s="105" t="s">
        <v>65</v>
      </c>
      <c r="F151" s="105" t="s">
        <v>1610</v>
      </c>
      <c r="G151" s="105" t="s">
        <v>1610</v>
      </c>
      <c r="H151" s="105" t="s">
        <v>1611</v>
      </c>
      <c r="I151" s="105" t="s">
        <v>1192</v>
      </c>
      <c r="J151" s="106">
        <v>45551</v>
      </c>
      <c r="K151" s="105"/>
      <c r="L151" s="105" t="s">
        <v>1181</v>
      </c>
      <c r="M151" s="105" t="s">
        <v>1182</v>
      </c>
      <c r="N151" s="106">
        <v>27861</v>
      </c>
      <c r="O151" s="119" t="s">
        <v>1150</v>
      </c>
      <c r="P151" s="105" t="s">
        <v>1183</v>
      </c>
      <c r="Q151" s="105" t="s">
        <v>1184</v>
      </c>
      <c r="R151" s="106">
        <v>44375</v>
      </c>
      <c r="S151" s="105" t="s">
        <v>1185</v>
      </c>
      <c r="T151" s="105" t="s">
        <v>1186</v>
      </c>
      <c r="U151" s="107" t="s">
        <v>1187</v>
      </c>
      <c r="V151" s="108">
        <v>45668</v>
      </c>
      <c r="W151">
        <v>3800405138</v>
      </c>
      <c r="X151" s="105" t="s">
        <v>1188</v>
      </c>
      <c r="Y151" s="109">
        <v>45861</v>
      </c>
      <c r="AB151" s="116" t="str">
        <f t="shared" si="10"/>
        <v>CÔNG TY CỔ PHẦN PHÁT TRIỂN HẠ TẦNG KỸ THUẬT BECAMEX - BÌNH PHƯỚC</v>
      </c>
      <c r="AC151" s="116" t="str">
        <f t="shared" si="11"/>
        <v>Căn 59 lô AM-16</v>
      </c>
      <c r="AD151" s="120">
        <f t="shared" si="12"/>
        <v>190</v>
      </c>
      <c r="AE151" s="121"/>
      <c r="AF151" s="113" t="s">
        <v>343</v>
      </c>
      <c r="AG151" s="111" t="s">
        <v>65</v>
      </c>
      <c r="AH151" s="111" t="s">
        <v>964</v>
      </c>
      <c r="AI151" s="104">
        <v>150</v>
      </c>
      <c r="AJ151" s="110"/>
    </row>
    <row r="152" spans="1:36" ht="18.75" x14ac:dyDescent="0.25">
      <c r="A152" s="105" t="s">
        <v>1177</v>
      </c>
      <c r="B152" s="112" t="s">
        <v>99</v>
      </c>
      <c r="C152" s="112" t="s">
        <v>99</v>
      </c>
      <c r="D152" s="105" t="s">
        <v>1612</v>
      </c>
      <c r="E152" s="105" t="s">
        <v>129</v>
      </c>
      <c r="F152" s="105" t="s">
        <v>1203</v>
      </c>
      <c r="G152" s="105" t="s">
        <v>1203</v>
      </c>
      <c r="H152" s="105" t="s">
        <v>1613</v>
      </c>
      <c r="I152" s="105" t="s">
        <v>1205</v>
      </c>
      <c r="J152" s="106">
        <v>45090</v>
      </c>
      <c r="K152" s="105"/>
      <c r="L152" s="105" t="s">
        <v>1181</v>
      </c>
      <c r="M152" s="105" t="s">
        <v>1182</v>
      </c>
      <c r="N152" s="106">
        <v>27861</v>
      </c>
      <c r="O152" s="119" t="s">
        <v>1150</v>
      </c>
      <c r="P152" s="105" t="s">
        <v>1183</v>
      </c>
      <c r="Q152" s="105" t="s">
        <v>1184</v>
      </c>
      <c r="R152" s="106">
        <v>44375</v>
      </c>
      <c r="S152" s="105" t="s">
        <v>1185</v>
      </c>
      <c r="T152" s="105" t="s">
        <v>1186</v>
      </c>
      <c r="U152" s="107" t="s">
        <v>1187</v>
      </c>
      <c r="V152" s="108">
        <v>45668</v>
      </c>
      <c r="W152">
        <v>3800405138</v>
      </c>
      <c r="X152" s="105" t="s">
        <v>1188</v>
      </c>
      <c r="Y152" s="109">
        <v>45861</v>
      </c>
      <c r="AB152" s="116" t="str">
        <f t="shared" si="10"/>
        <v>CÔNG TY CỔ PHẦN PHÁT TRIỂN HẠ TẦNG KỸ THUẬT BECAMEX-BÌNH PHƯỚC(38 Lô TDC-31)</v>
      </c>
      <c r="AC152" s="116" t="str">
        <f t="shared" si="11"/>
        <v>Căn 38 lô TĐC-31</v>
      </c>
      <c r="AD152" s="120">
        <f t="shared" si="12"/>
        <v>73</v>
      </c>
      <c r="AE152" s="121"/>
      <c r="AF152" s="113" t="s">
        <v>342</v>
      </c>
      <c r="AG152" s="111" t="s">
        <v>65</v>
      </c>
      <c r="AH152" s="111" t="s">
        <v>965</v>
      </c>
      <c r="AI152" s="104">
        <v>151</v>
      </c>
      <c r="AJ152" s="110"/>
    </row>
    <row r="153" spans="1:36" ht="18.75" x14ac:dyDescent="0.25">
      <c r="A153" s="105" t="s">
        <v>1177</v>
      </c>
      <c r="B153" s="112" t="s">
        <v>103</v>
      </c>
      <c r="C153" s="112" t="s">
        <v>103</v>
      </c>
      <c r="D153" s="105" t="s">
        <v>1614</v>
      </c>
      <c r="E153" s="105" t="s">
        <v>133</v>
      </c>
      <c r="F153" s="105" t="s">
        <v>1203</v>
      </c>
      <c r="G153" s="105" t="s">
        <v>1203</v>
      </c>
      <c r="H153" s="105" t="s">
        <v>1615</v>
      </c>
      <c r="I153" s="105" t="s">
        <v>1205</v>
      </c>
      <c r="J153" s="106">
        <v>45090</v>
      </c>
      <c r="K153" s="105"/>
      <c r="L153" s="105" t="s">
        <v>1181</v>
      </c>
      <c r="M153" s="105" t="s">
        <v>1182</v>
      </c>
      <c r="N153" s="106">
        <v>27861</v>
      </c>
      <c r="O153" s="119" t="s">
        <v>1150</v>
      </c>
      <c r="P153" s="105" t="s">
        <v>1183</v>
      </c>
      <c r="Q153" s="105" t="s">
        <v>1184</v>
      </c>
      <c r="R153" s="106">
        <v>44375</v>
      </c>
      <c r="S153" s="105" t="s">
        <v>1185</v>
      </c>
      <c r="T153" s="105" t="s">
        <v>1186</v>
      </c>
      <c r="U153" s="107" t="s">
        <v>1187</v>
      </c>
      <c r="V153" s="108">
        <v>45668</v>
      </c>
      <c r="W153">
        <v>3800405138</v>
      </c>
      <c r="X153" s="105" t="s">
        <v>1188</v>
      </c>
      <c r="Y153" s="109">
        <v>45861</v>
      </c>
      <c r="AB153" s="116" t="str">
        <f t="shared" si="10"/>
        <v>CÔNG TY CỔ PHẦN PHÁT TRIỂN HẠ TẦNG KỸ THUẬT BECAMEX-BÌNH PHƯỚC(45 Lô TDC-31)</v>
      </c>
      <c r="AC153" s="116" t="str">
        <f t="shared" si="11"/>
        <v>Căn 45 lô TĐC-31</v>
      </c>
      <c r="AD153" s="120">
        <f t="shared" si="12"/>
        <v>80</v>
      </c>
      <c r="AE153" s="121"/>
      <c r="AF153" s="113" t="s">
        <v>286</v>
      </c>
      <c r="AG153" s="111" t="s">
        <v>65</v>
      </c>
      <c r="AH153" s="111" t="s">
        <v>966</v>
      </c>
      <c r="AI153" s="104">
        <v>152</v>
      </c>
      <c r="AJ153" s="110"/>
    </row>
    <row r="154" spans="1:36" ht="18.75" x14ac:dyDescent="0.25">
      <c r="A154" s="105" t="s">
        <v>1177</v>
      </c>
      <c r="B154" s="112" t="s">
        <v>96</v>
      </c>
      <c r="C154" s="112" t="s">
        <v>96</v>
      </c>
      <c r="D154" s="105" t="s">
        <v>1616</v>
      </c>
      <c r="E154" s="105" t="s">
        <v>126</v>
      </c>
      <c r="F154" s="105" t="s">
        <v>1203</v>
      </c>
      <c r="G154" s="105" t="s">
        <v>1203</v>
      </c>
      <c r="H154" s="105" t="s">
        <v>1617</v>
      </c>
      <c r="I154" s="105" t="s">
        <v>1205</v>
      </c>
      <c r="J154" s="106">
        <v>45090</v>
      </c>
      <c r="K154" s="105"/>
      <c r="L154" s="105" t="s">
        <v>1181</v>
      </c>
      <c r="M154" s="105" t="s">
        <v>1182</v>
      </c>
      <c r="N154" s="106">
        <v>27861</v>
      </c>
      <c r="O154" s="119" t="s">
        <v>1150</v>
      </c>
      <c r="P154" s="105" t="s">
        <v>1183</v>
      </c>
      <c r="Q154" s="105" t="s">
        <v>1184</v>
      </c>
      <c r="R154" s="106">
        <v>44375</v>
      </c>
      <c r="S154" s="105" t="s">
        <v>1185</v>
      </c>
      <c r="T154" s="105" t="s">
        <v>1186</v>
      </c>
      <c r="U154" s="107" t="s">
        <v>1187</v>
      </c>
      <c r="V154" s="108">
        <v>45668</v>
      </c>
      <c r="W154">
        <v>3800405138</v>
      </c>
      <c r="X154" s="105" t="s">
        <v>1188</v>
      </c>
      <c r="Y154" s="109">
        <v>45861</v>
      </c>
      <c r="AB154" s="116" t="str">
        <f t="shared" si="10"/>
        <v>CÔNG TY CỔ PHẦN PHÁT TRIỂN HẠ TẦNG KỸ THUẬT BECAMEX-BÌNH PHƯỚC(36 Lô TDC-31)</v>
      </c>
      <c r="AC154" s="116" t="str">
        <f t="shared" si="11"/>
        <v>Căn 36 lô TĐC-31</v>
      </c>
      <c r="AD154" s="120">
        <f t="shared" si="12"/>
        <v>71</v>
      </c>
      <c r="AE154" s="121"/>
      <c r="AF154" s="113" t="s">
        <v>287</v>
      </c>
      <c r="AG154" s="111" t="s">
        <v>65</v>
      </c>
      <c r="AH154" s="111" t="s">
        <v>967</v>
      </c>
      <c r="AI154" s="104">
        <v>153</v>
      </c>
      <c r="AJ154" s="110"/>
    </row>
    <row r="155" spans="1:36" ht="18.75" x14ac:dyDescent="0.25">
      <c r="A155" s="105" t="s">
        <v>1177</v>
      </c>
      <c r="B155" s="112" t="s">
        <v>229</v>
      </c>
      <c r="C155" s="112" t="s">
        <v>229</v>
      </c>
      <c r="D155" s="105" t="s">
        <v>1618</v>
      </c>
      <c r="E155" s="105" t="s">
        <v>65</v>
      </c>
      <c r="F155" s="105" t="s">
        <v>1619</v>
      </c>
      <c r="G155" s="105" t="s">
        <v>1619</v>
      </c>
      <c r="H155" s="105" t="s">
        <v>254</v>
      </c>
      <c r="I155" s="105" t="s">
        <v>1180</v>
      </c>
      <c r="J155" s="106">
        <v>45511</v>
      </c>
      <c r="K155" s="105"/>
      <c r="L155" s="105" t="s">
        <v>1181</v>
      </c>
      <c r="M155" s="105" t="s">
        <v>1182</v>
      </c>
      <c r="N155" s="106">
        <v>27861</v>
      </c>
      <c r="O155" s="119" t="s">
        <v>1150</v>
      </c>
      <c r="P155" s="105" t="s">
        <v>1183</v>
      </c>
      <c r="Q155" s="105" t="s">
        <v>1184</v>
      </c>
      <c r="R155" s="106">
        <v>44375</v>
      </c>
      <c r="S155" s="105" t="s">
        <v>1185</v>
      </c>
      <c r="T155" s="105" t="s">
        <v>1186</v>
      </c>
      <c r="U155" s="107" t="s">
        <v>1187</v>
      </c>
      <c r="V155" s="108">
        <v>45668</v>
      </c>
      <c r="W155">
        <v>3800405138</v>
      </c>
      <c r="X155" s="105" t="s">
        <v>1188</v>
      </c>
      <c r="Y155" s="109">
        <v>45861</v>
      </c>
      <c r="AB155" s="116" t="str">
        <f t="shared" si="10"/>
        <v>CÔNG TY CỔ PHẦN PHÁT TRIỂN HẠ TẦNG KỸ THUẬT BECAMEX - BÌNH PHƯỚC</v>
      </c>
      <c r="AC155" s="116" t="str">
        <f t="shared" si="11"/>
        <v>Căn 21 lô TĐC-44</v>
      </c>
      <c r="AD155" s="120">
        <f t="shared" si="12"/>
        <v>112</v>
      </c>
      <c r="AE155" s="121"/>
      <c r="AF155" s="113" t="s">
        <v>288</v>
      </c>
      <c r="AG155" s="111" t="s">
        <v>65</v>
      </c>
      <c r="AH155" s="111" t="s">
        <v>968</v>
      </c>
      <c r="AI155" s="104">
        <v>154</v>
      </c>
      <c r="AJ155" s="110"/>
    </row>
    <row r="156" spans="1:36" ht="18.75" x14ac:dyDescent="0.25">
      <c r="A156" s="105" t="s">
        <v>1177</v>
      </c>
      <c r="B156" s="112" t="s">
        <v>614</v>
      </c>
      <c r="C156" s="112" t="s">
        <v>614</v>
      </c>
      <c r="D156" s="105" t="s">
        <v>1620</v>
      </c>
      <c r="E156" s="105" t="s">
        <v>65</v>
      </c>
      <c r="F156" s="105" t="s">
        <v>1621</v>
      </c>
      <c r="G156" s="105" t="s">
        <v>1621</v>
      </c>
      <c r="H156" s="105" t="s">
        <v>1622</v>
      </c>
      <c r="I156" s="105" t="s">
        <v>1192</v>
      </c>
      <c r="J156" s="106">
        <v>45549</v>
      </c>
      <c r="K156" s="105"/>
      <c r="L156" s="105" t="s">
        <v>1181</v>
      </c>
      <c r="M156" s="105" t="s">
        <v>1182</v>
      </c>
      <c r="N156" s="106">
        <v>27861</v>
      </c>
      <c r="O156" s="119" t="s">
        <v>1150</v>
      </c>
      <c r="P156" s="105" t="s">
        <v>1183</v>
      </c>
      <c r="Q156" s="105" t="s">
        <v>1184</v>
      </c>
      <c r="R156" s="106">
        <v>44375</v>
      </c>
      <c r="S156" s="105" t="s">
        <v>1185</v>
      </c>
      <c r="T156" s="105" t="s">
        <v>1186</v>
      </c>
      <c r="U156" s="107" t="s">
        <v>1187</v>
      </c>
      <c r="V156" s="108">
        <v>45668</v>
      </c>
      <c r="W156">
        <v>3800405138</v>
      </c>
      <c r="X156" s="105" t="s">
        <v>1188</v>
      </c>
      <c r="Y156" s="109">
        <v>45861</v>
      </c>
      <c r="AB156" s="116" t="str">
        <f t="shared" si="10"/>
        <v>CÔNG TY CỔ PHẦN PHÁT TRIỂN HẠ TẦNG KỸ THUẬT BECAMEX - BÌNH PHƯỚC</v>
      </c>
      <c r="AC156" s="116" t="str">
        <f t="shared" si="11"/>
        <v>Căn 68 lô AM-16</v>
      </c>
      <c r="AD156" s="120">
        <f t="shared" si="12"/>
        <v>199</v>
      </c>
      <c r="AE156" s="121"/>
      <c r="AF156" s="113" t="s">
        <v>289</v>
      </c>
      <c r="AG156" s="111" t="s">
        <v>65</v>
      </c>
      <c r="AH156" s="111" t="s">
        <v>969</v>
      </c>
      <c r="AI156" s="104">
        <v>155</v>
      </c>
      <c r="AJ156" s="110"/>
    </row>
    <row r="157" spans="1:36" ht="18.75" x14ac:dyDescent="0.25">
      <c r="A157" s="105" t="s">
        <v>1177</v>
      </c>
      <c r="B157" s="112" t="s">
        <v>159</v>
      </c>
      <c r="C157" s="112" t="s">
        <v>159</v>
      </c>
      <c r="D157" s="105" t="s">
        <v>1623</v>
      </c>
      <c r="E157" s="105" t="s">
        <v>1624</v>
      </c>
      <c r="F157" s="105" t="s">
        <v>1625</v>
      </c>
      <c r="G157" s="105" t="s">
        <v>1625</v>
      </c>
      <c r="H157" s="105" t="s">
        <v>1626</v>
      </c>
      <c r="I157" s="105" t="s">
        <v>1205</v>
      </c>
      <c r="J157" s="106">
        <v>44519</v>
      </c>
      <c r="K157" s="105"/>
      <c r="L157" s="105" t="s">
        <v>1181</v>
      </c>
      <c r="M157" s="105" t="s">
        <v>1182</v>
      </c>
      <c r="N157" s="106">
        <v>27861</v>
      </c>
      <c r="O157" s="119" t="s">
        <v>1150</v>
      </c>
      <c r="P157" s="105" t="s">
        <v>1183</v>
      </c>
      <c r="Q157" s="105" t="s">
        <v>1184</v>
      </c>
      <c r="R157" s="106">
        <v>44375</v>
      </c>
      <c r="S157" s="105" t="s">
        <v>1185</v>
      </c>
      <c r="T157" s="105" t="s">
        <v>1186</v>
      </c>
      <c r="U157" s="107" t="s">
        <v>1187</v>
      </c>
      <c r="V157" s="108">
        <v>45668</v>
      </c>
      <c r="W157">
        <v>3800405138</v>
      </c>
      <c r="X157" s="105" t="s">
        <v>1188</v>
      </c>
      <c r="Y157" s="109">
        <v>45861</v>
      </c>
      <c r="AB157" s="116" t="str">
        <f t="shared" si="10"/>
        <v>CÔNG TY CỔ PHẦN PHÁT TRIỂN HẠ TẦNG KỸ THUẬT BECAMEX - BÌNH PHƯỚC</v>
      </c>
      <c r="AC157" s="116" t="str">
        <f t="shared" si="11"/>
        <v>Căn 11 lô TĐC-31</v>
      </c>
      <c r="AD157" s="120">
        <f t="shared" si="12"/>
        <v>50</v>
      </c>
      <c r="AE157" s="121"/>
      <c r="AF157" s="113" t="s">
        <v>610</v>
      </c>
      <c r="AG157" s="111" t="s">
        <v>65</v>
      </c>
      <c r="AH157" s="111" t="s">
        <v>970</v>
      </c>
      <c r="AI157" s="104">
        <v>156</v>
      </c>
      <c r="AJ157" s="110"/>
    </row>
    <row r="158" spans="1:36" ht="18.75" x14ac:dyDescent="0.25">
      <c r="A158" s="105" t="s">
        <v>1177</v>
      </c>
      <c r="B158" s="112" t="s">
        <v>152</v>
      </c>
      <c r="C158" s="112" t="s">
        <v>152</v>
      </c>
      <c r="D158" s="105" t="s">
        <v>1627</v>
      </c>
      <c r="E158" s="105" t="s">
        <v>1628</v>
      </c>
      <c r="F158" s="105" t="s">
        <v>1629</v>
      </c>
      <c r="G158" s="105" t="s">
        <v>1629</v>
      </c>
      <c r="H158" s="105" t="s">
        <v>1630</v>
      </c>
      <c r="I158" s="105" t="s">
        <v>1205</v>
      </c>
      <c r="J158" s="106">
        <v>44519</v>
      </c>
      <c r="K158" s="105"/>
      <c r="L158" s="105" t="s">
        <v>1181</v>
      </c>
      <c r="M158" s="105" t="s">
        <v>1182</v>
      </c>
      <c r="N158" s="106">
        <v>27861</v>
      </c>
      <c r="O158" s="119" t="s">
        <v>1150</v>
      </c>
      <c r="P158" s="105" t="s">
        <v>1183</v>
      </c>
      <c r="Q158" s="105" t="s">
        <v>1184</v>
      </c>
      <c r="R158" s="106">
        <v>44375</v>
      </c>
      <c r="S158" s="105" t="s">
        <v>1185</v>
      </c>
      <c r="T158" s="105" t="s">
        <v>1186</v>
      </c>
      <c r="U158" s="107" t="s">
        <v>1187</v>
      </c>
      <c r="V158" s="108">
        <v>45668</v>
      </c>
      <c r="W158">
        <v>3800405138</v>
      </c>
      <c r="X158" s="105" t="s">
        <v>1188</v>
      </c>
      <c r="Y158" s="109">
        <v>45861</v>
      </c>
      <c r="AB158" s="116" t="str">
        <f t="shared" si="10"/>
        <v>CÔNG TY CỔ PHẦN PHÁT TRIỂN HẠ TẦNG KỸ THUẬT BECAMEX - BÌNH PHƯỚC</v>
      </c>
      <c r="AC158" s="116" t="str">
        <f t="shared" si="11"/>
        <v>Căn 4 lô TĐC-31</v>
      </c>
      <c r="AD158" s="120">
        <f t="shared" si="12"/>
        <v>43</v>
      </c>
      <c r="AE158" s="121"/>
      <c r="AF158" s="113" t="s">
        <v>291</v>
      </c>
      <c r="AG158" s="111" t="s">
        <v>65</v>
      </c>
      <c r="AH158" s="111" t="s">
        <v>971</v>
      </c>
      <c r="AI158" s="104">
        <v>157</v>
      </c>
      <c r="AJ158" s="110"/>
    </row>
    <row r="159" spans="1:36" ht="18.75" x14ac:dyDescent="0.25">
      <c r="A159" s="105" t="s">
        <v>1177</v>
      </c>
      <c r="B159" s="142" t="s">
        <v>1631</v>
      </c>
      <c r="C159" s="112" t="s">
        <v>1631</v>
      </c>
      <c r="D159" s="105" t="s">
        <v>1632</v>
      </c>
      <c r="E159" s="105" t="s">
        <v>1208</v>
      </c>
      <c r="F159" s="119" t="s">
        <v>1731</v>
      </c>
      <c r="G159" s="105" t="s">
        <v>1203</v>
      </c>
      <c r="H159" s="105" t="s">
        <v>1633</v>
      </c>
      <c r="I159" s="143" t="s">
        <v>1210</v>
      </c>
      <c r="J159" s="106">
        <v>45652</v>
      </c>
      <c r="K159" s="105"/>
      <c r="L159" s="105" t="s">
        <v>1181</v>
      </c>
      <c r="M159" s="105" t="s">
        <v>1182</v>
      </c>
      <c r="N159" s="106">
        <v>27861</v>
      </c>
      <c r="O159" s="119" t="s">
        <v>1150</v>
      </c>
      <c r="P159" s="105" t="s">
        <v>1183</v>
      </c>
      <c r="Q159" s="105" t="s">
        <v>1184</v>
      </c>
      <c r="R159" s="106">
        <v>44375</v>
      </c>
      <c r="S159" s="105" t="s">
        <v>1185</v>
      </c>
      <c r="T159" s="105" t="s">
        <v>1186</v>
      </c>
      <c r="U159" s="107" t="s">
        <v>1187</v>
      </c>
      <c r="V159" s="108">
        <v>45668</v>
      </c>
      <c r="W159">
        <v>3800405138</v>
      </c>
      <c r="X159" s="105" t="s">
        <v>1188</v>
      </c>
      <c r="Y159" s="109">
        <v>45861</v>
      </c>
      <c r="AB159" s="126" t="e">
        <f t="shared" si="10"/>
        <v>#N/A</v>
      </c>
      <c r="AC159" s="126" t="e">
        <f t="shared" si="11"/>
        <v>#N/A</v>
      </c>
      <c r="AD159" s="144" t="e">
        <f t="shared" si="12"/>
        <v>#N/A</v>
      </c>
      <c r="AE159" s="121"/>
      <c r="AF159" s="113" t="s">
        <v>292</v>
      </c>
      <c r="AG159" s="111" t="s">
        <v>65</v>
      </c>
      <c r="AH159" s="111" t="s">
        <v>972</v>
      </c>
      <c r="AI159" s="104">
        <v>158</v>
      </c>
      <c r="AJ159" s="110"/>
    </row>
    <row r="160" spans="1:36" ht="18.75" x14ac:dyDescent="0.25">
      <c r="A160" s="105" t="s">
        <v>1177</v>
      </c>
      <c r="B160" s="112" t="s">
        <v>106</v>
      </c>
      <c r="C160" s="112" t="s">
        <v>106</v>
      </c>
      <c r="D160" s="105" t="s">
        <v>1634</v>
      </c>
      <c r="E160" s="105" t="s">
        <v>136</v>
      </c>
      <c r="F160" s="105" t="s">
        <v>1203</v>
      </c>
      <c r="G160" s="105" t="s">
        <v>1203</v>
      </c>
      <c r="H160" s="105" t="s">
        <v>1635</v>
      </c>
      <c r="I160" s="105" t="s">
        <v>1205</v>
      </c>
      <c r="J160" s="106">
        <v>45090</v>
      </c>
      <c r="K160" s="105"/>
      <c r="L160" s="105" t="s">
        <v>1181</v>
      </c>
      <c r="M160" s="105" t="s">
        <v>1182</v>
      </c>
      <c r="N160" s="106">
        <v>27861</v>
      </c>
      <c r="O160" s="119" t="s">
        <v>1150</v>
      </c>
      <c r="P160" s="105" t="s">
        <v>1183</v>
      </c>
      <c r="Q160" s="105" t="s">
        <v>1184</v>
      </c>
      <c r="R160" s="106">
        <v>44375</v>
      </c>
      <c r="S160" s="105" t="s">
        <v>1185</v>
      </c>
      <c r="T160" s="105" t="s">
        <v>1186</v>
      </c>
      <c r="U160" s="107" t="s">
        <v>1187</v>
      </c>
      <c r="V160" s="108">
        <v>45668</v>
      </c>
      <c r="W160">
        <v>3800405138</v>
      </c>
      <c r="X160" s="105" t="s">
        <v>1188</v>
      </c>
      <c r="Y160" s="109">
        <v>45861</v>
      </c>
      <c r="AB160" s="116" t="str">
        <f t="shared" si="10"/>
        <v>CÔNG TY CỔ PHẦN PHÁT TRIỂN HẠ TẦNG KỸ THUẬT BECAMEX-BÌNH PHƯỚC(48 Lô TDC-31)</v>
      </c>
      <c r="AC160" s="116" t="str">
        <f t="shared" si="11"/>
        <v>Căn 48 lô TĐC-31</v>
      </c>
      <c r="AD160" s="120">
        <f t="shared" si="12"/>
        <v>83</v>
      </c>
      <c r="AE160" s="121"/>
      <c r="AF160" s="113" t="s">
        <v>293</v>
      </c>
      <c r="AG160" s="111" t="s">
        <v>65</v>
      </c>
      <c r="AH160" s="111" t="s">
        <v>973</v>
      </c>
      <c r="AI160" s="104">
        <v>159</v>
      </c>
      <c r="AJ160" s="110"/>
    </row>
    <row r="161" spans="1:36" ht="18.75" x14ac:dyDescent="0.25">
      <c r="A161" s="105" t="s">
        <v>1177</v>
      </c>
      <c r="B161" s="112" t="s">
        <v>110</v>
      </c>
      <c r="C161" s="112" t="s">
        <v>110</v>
      </c>
      <c r="D161" s="105" t="s">
        <v>1636</v>
      </c>
      <c r="E161" s="105" t="s">
        <v>140</v>
      </c>
      <c r="F161" s="105" t="s">
        <v>1203</v>
      </c>
      <c r="G161" s="105" t="s">
        <v>1203</v>
      </c>
      <c r="H161" s="105" t="s">
        <v>1637</v>
      </c>
      <c r="I161" s="105" t="s">
        <v>1205</v>
      </c>
      <c r="J161" s="106">
        <v>45092</v>
      </c>
      <c r="K161" s="105"/>
      <c r="L161" s="105" t="s">
        <v>1181</v>
      </c>
      <c r="M161" s="105" t="s">
        <v>1182</v>
      </c>
      <c r="N161" s="106">
        <v>27861</v>
      </c>
      <c r="O161" s="119" t="s">
        <v>1150</v>
      </c>
      <c r="P161" s="105" t="s">
        <v>1183</v>
      </c>
      <c r="Q161" s="105" t="s">
        <v>1184</v>
      </c>
      <c r="R161" s="106">
        <v>44375</v>
      </c>
      <c r="S161" s="105" t="s">
        <v>1185</v>
      </c>
      <c r="T161" s="105" t="s">
        <v>1186</v>
      </c>
      <c r="U161" s="107" t="s">
        <v>1187</v>
      </c>
      <c r="V161" s="108">
        <v>45668</v>
      </c>
      <c r="W161">
        <v>3800405138</v>
      </c>
      <c r="X161" s="105" t="s">
        <v>1188</v>
      </c>
      <c r="Y161" s="109">
        <v>45861</v>
      </c>
      <c r="AB161" s="116" t="str">
        <f t="shared" si="10"/>
        <v>CÔNG TY CỔ PHẦN PHÁT TRIỂN HẠ TẦNG KỸ THUẬT BECAMEX-BÌNH PHƯỚC(52 Lô TDC-31)</v>
      </c>
      <c r="AC161" s="116" t="str">
        <f t="shared" si="11"/>
        <v>Căn 52 lô TĐC-31</v>
      </c>
      <c r="AD161" s="120">
        <f t="shared" si="12"/>
        <v>87</v>
      </c>
      <c r="AE161" s="121"/>
      <c r="AF161" s="113" t="s">
        <v>294</v>
      </c>
      <c r="AG161" s="111" t="s">
        <v>65</v>
      </c>
      <c r="AH161" s="111" t="s">
        <v>974</v>
      </c>
      <c r="AI161" s="104">
        <v>160</v>
      </c>
      <c r="AJ161" s="110"/>
    </row>
    <row r="162" spans="1:36" ht="18.75" x14ac:dyDescent="0.25">
      <c r="A162" s="105" t="s">
        <v>1177</v>
      </c>
      <c r="B162" s="112" t="s">
        <v>168</v>
      </c>
      <c r="C162" s="112" t="s">
        <v>168</v>
      </c>
      <c r="D162" s="105" t="s">
        <v>1638</v>
      </c>
      <c r="E162" s="105" t="s">
        <v>1639</v>
      </c>
      <c r="F162" s="105" t="s">
        <v>1640</v>
      </c>
      <c r="G162" s="105" t="s">
        <v>1640</v>
      </c>
      <c r="H162" s="105" t="s">
        <v>1641</v>
      </c>
      <c r="I162" s="105" t="s">
        <v>1205</v>
      </c>
      <c r="J162" s="106">
        <v>44519</v>
      </c>
      <c r="K162" s="105"/>
      <c r="L162" s="105" t="s">
        <v>1181</v>
      </c>
      <c r="M162" s="105" t="s">
        <v>1182</v>
      </c>
      <c r="N162" s="106">
        <v>27861</v>
      </c>
      <c r="O162" s="119" t="s">
        <v>1150</v>
      </c>
      <c r="P162" s="105" t="s">
        <v>1183</v>
      </c>
      <c r="Q162" s="105" t="s">
        <v>1184</v>
      </c>
      <c r="R162" s="106">
        <v>44375</v>
      </c>
      <c r="S162" s="105" t="s">
        <v>1185</v>
      </c>
      <c r="T162" s="105" t="s">
        <v>1186</v>
      </c>
      <c r="U162" s="107" t="s">
        <v>1187</v>
      </c>
      <c r="V162" s="108">
        <v>45668</v>
      </c>
      <c r="W162">
        <v>3800405138</v>
      </c>
      <c r="X162" s="105" t="s">
        <v>1188</v>
      </c>
      <c r="Y162" s="109">
        <v>45861</v>
      </c>
      <c r="AB162" s="116" t="str">
        <f t="shared" ref="AB162:AB184" si="13">VLOOKUP(B162,$AF$2:$AJ$303,2,0)</f>
        <v>CÔNG TY CỔ PHẦN PHÁT TRIỂN HẠ TẦNG KỸ THUẬT BECAMEX - BÌNH PHƯỚC</v>
      </c>
      <c r="AC162" s="116" t="str">
        <f t="shared" ref="AC162:AC184" si="14">VLOOKUP(C162,$AF$2:$AJ$303,3,0)</f>
        <v>Căn 20 lô TĐC-31</v>
      </c>
      <c r="AD162" s="120">
        <f t="shared" si="12"/>
        <v>59</v>
      </c>
      <c r="AE162" s="121"/>
      <c r="AF162" s="113" t="s">
        <v>295</v>
      </c>
      <c r="AG162" s="111" t="s">
        <v>65</v>
      </c>
      <c r="AH162" s="111" t="s">
        <v>975</v>
      </c>
      <c r="AI162" s="104">
        <v>161</v>
      </c>
      <c r="AJ162" s="110"/>
    </row>
    <row r="163" spans="1:36" ht="18.75" x14ac:dyDescent="0.25">
      <c r="A163" s="105" t="s">
        <v>1177</v>
      </c>
      <c r="B163" s="112" t="s">
        <v>636</v>
      </c>
      <c r="C163" s="112" t="s">
        <v>636</v>
      </c>
      <c r="D163" s="105" t="s">
        <v>1642</v>
      </c>
      <c r="E163" s="105" t="s">
        <v>65</v>
      </c>
      <c r="F163" s="105" t="s">
        <v>1643</v>
      </c>
      <c r="G163" s="105" t="s">
        <v>1643</v>
      </c>
      <c r="H163" s="105" t="s">
        <v>1644</v>
      </c>
      <c r="I163" s="105" t="s">
        <v>1192</v>
      </c>
      <c r="J163" s="106">
        <v>45549</v>
      </c>
      <c r="K163" s="105"/>
      <c r="L163" s="105" t="s">
        <v>1181</v>
      </c>
      <c r="M163" s="105" t="s">
        <v>1182</v>
      </c>
      <c r="N163" s="106">
        <v>27861</v>
      </c>
      <c r="O163" s="119" t="s">
        <v>1150</v>
      </c>
      <c r="P163" s="105" t="s">
        <v>1183</v>
      </c>
      <c r="Q163" s="105" t="s">
        <v>1184</v>
      </c>
      <c r="R163" s="106">
        <v>44375</v>
      </c>
      <c r="S163" s="105" t="s">
        <v>1185</v>
      </c>
      <c r="T163" s="105" t="s">
        <v>1186</v>
      </c>
      <c r="U163" s="107" t="s">
        <v>1187</v>
      </c>
      <c r="V163" s="108">
        <v>45668</v>
      </c>
      <c r="W163">
        <v>3800405138</v>
      </c>
      <c r="X163" s="105" t="s">
        <v>1188</v>
      </c>
      <c r="Y163" s="109">
        <v>45861</v>
      </c>
      <c r="AB163" s="116" t="str">
        <f t="shared" si="13"/>
        <v>CÔNG TY CỔ PHẦN PHÁT TRIỂN HẠ TẦNG KỸ THUẬT BECAMEX - BÌNH PHƯỚC</v>
      </c>
      <c r="AC163" s="116" t="str">
        <f t="shared" si="14"/>
        <v>Căn 37 lô AM-16</v>
      </c>
      <c r="AD163" s="120">
        <f t="shared" si="12"/>
        <v>168</v>
      </c>
      <c r="AE163" s="121"/>
      <c r="AF163" s="113" t="s">
        <v>622</v>
      </c>
      <c r="AG163" s="111" t="s">
        <v>65</v>
      </c>
      <c r="AH163" s="111" t="s">
        <v>976</v>
      </c>
      <c r="AI163" s="104">
        <v>162</v>
      </c>
      <c r="AJ163" s="110"/>
    </row>
    <row r="164" spans="1:36" ht="18.75" x14ac:dyDescent="0.25">
      <c r="A164" s="105" t="s">
        <v>1177</v>
      </c>
      <c r="B164" s="112" t="s">
        <v>154</v>
      </c>
      <c r="C164" s="112" t="s">
        <v>154</v>
      </c>
      <c r="D164" s="105" t="s">
        <v>1645</v>
      </c>
      <c r="E164" s="105" t="s">
        <v>1646</v>
      </c>
      <c r="F164" s="105" t="s">
        <v>1647</v>
      </c>
      <c r="G164" s="105" t="s">
        <v>1647</v>
      </c>
      <c r="H164" s="105" t="s">
        <v>1648</v>
      </c>
      <c r="I164" s="105" t="s">
        <v>1205</v>
      </c>
      <c r="J164" s="106">
        <v>44519</v>
      </c>
      <c r="K164" s="105"/>
      <c r="L164" s="105" t="s">
        <v>1181</v>
      </c>
      <c r="M164" s="105" t="s">
        <v>1182</v>
      </c>
      <c r="N164" s="106">
        <v>27861</v>
      </c>
      <c r="O164" s="119" t="s">
        <v>1150</v>
      </c>
      <c r="P164" s="105" t="s">
        <v>1183</v>
      </c>
      <c r="Q164" s="105" t="s">
        <v>1184</v>
      </c>
      <c r="R164" s="106">
        <v>44375</v>
      </c>
      <c r="S164" s="105" t="s">
        <v>1185</v>
      </c>
      <c r="T164" s="105" t="s">
        <v>1186</v>
      </c>
      <c r="U164" s="107" t="s">
        <v>1187</v>
      </c>
      <c r="V164" s="108">
        <v>45668</v>
      </c>
      <c r="W164">
        <v>3800405138</v>
      </c>
      <c r="X164" s="105" t="s">
        <v>1188</v>
      </c>
      <c r="Y164" s="109">
        <v>45861</v>
      </c>
      <c r="AB164" s="116" t="str">
        <f t="shared" si="13"/>
        <v>CÔNG TY CỔ PHẦN PHÁT TRIỂN HẠ TẦNG KỸ THUẬT BECAMEX - BÌNH PHƯỚC</v>
      </c>
      <c r="AC164" s="116" t="str">
        <f t="shared" si="14"/>
        <v>Căn 6 lô TĐC-31</v>
      </c>
      <c r="AD164" s="120">
        <f t="shared" si="12"/>
        <v>45</v>
      </c>
      <c r="AE164" s="121"/>
      <c r="AF164" s="113" t="s">
        <v>297</v>
      </c>
      <c r="AG164" s="111" t="s">
        <v>65</v>
      </c>
      <c r="AH164" s="111" t="s">
        <v>977</v>
      </c>
      <c r="AI164" s="104">
        <v>163</v>
      </c>
      <c r="AJ164" s="110"/>
    </row>
    <row r="165" spans="1:36" ht="18.75" x14ac:dyDescent="0.25">
      <c r="A165" s="105" t="s">
        <v>1177</v>
      </c>
      <c r="B165" s="112" t="s">
        <v>97</v>
      </c>
      <c r="C165" s="112" t="s">
        <v>97</v>
      </c>
      <c r="D165" s="105" t="s">
        <v>1649</v>
      </c>
      <c r="E165" s="105" t="s">
        <v>127</v>
      </c>
      <c r="F165" s="105" t="s">
        <v>1203</v>
      </c>
      <c r="G165" s="105" t="s">
        <v>1203</v>
      </c>
      <c r="H165" s="105" t="s">
        <v>1650</v>
      </c>
      <c r="I165" s="105" t="s">
        <v>1205</v>
      </c>
      <c r="J165" s="106">
        <v>45090</v>
      </c>
      <c r="K165" s="105"/>
      <c r="L165" s="105" t="s">
        <v>1181</v>
      </c>
      <c r="M165" s="105" t="s">
        <v>1182</v>
      </c>
      <c r="N165" s="106">
        <v>27861</v>
      </c>
      <c r="O165" s="119" t="s">
        <v>1150</v>
      </c>
      <c r="P165" s="105" t="s">
        <v>1183</v>
      </c>
      <c r="Q165" s="105" t="s">
        <v>1184</v>
      </c>
      <c r="R165" s="106">
        <v>44375</v>
      </c>
      <c r="S165" s="105" t="s">
        <v>1185</v>
      </c>
      <c r="T165" s="105" t="s">
        <v>1186</v>
      </c>
      <c r="U165" s="107" t="s">
        <v>1187</v>
      </c>
      <c r="V165" s="108">
        <v>45668</v>
      </c>
      <c r="W165">
        <v>3800405138</v>
      </c>
      <c r="X165" s="105" t="s">
        <v>1188</v>
      </c>
      <c r="Y165" s="109">
        <v>45861</v>
      </c>
      <c r="AB165" s="116" t="str">
        <f t="shared" si="13"/>
        <v>CÔNG TY CỔ PHẦN PHÁT TRIỂN HẠ TẦNG KỸ THUẬT BECAMEX-BÌNH PHƯỚC(37 Lô TDC-31)</v>
      </c>
      <c r="AC165" s="116" t="str">
        <f t="shared" si="14"/>
        <v>Căn 37 lô TĐC-31</v>
      </c>
      <c r="AD165" s="120">
        <f t="shared" si="12"/>
        <v>72</v>
      </c>
      <c r="AE165" s="121"/>
      <c r="AF165" s="113" t="s">
        <v>298</v>
      </c>
      <c r="AG165" s="111" t="s">
        <v>65</v>
      </c>
      <c r="AH165" s="111" t="s">
        <v>978</v>
      </c>
      <c r="AI165" s="104">
        <v>164</v>
      </c>
      <c r="AJ165" s="110"/>
    </row>
    <row r="166" spans="1:36" ht="18.75" x14ac:dyDescent="0.25">
      <c r="A166" s="105" t="s">
        <v>1177</v>
      </c>
      <c r="B166" s="112" t="s">
        <v>172</v>
      </c>
      <c r="C166" s="112" t="s">
        <v>172</v>
      </c>
      <c r="D166" s="105" t="s">
        <v>1651</v>
      </c>
      <c r="E166" s="105" t="s">
        <v>1652</v>
      </c>
      <c r="F166" s="105" t="s">
        <v>1653</v>
      </c>
      <c r="G166" s="105" t="s">
        <v>1653</v>
      </c>
      <c r="H166" s="105" t="s">
        <v>1654</v>
      </c>
      <c r="I166" s="105" t="s">
        <v>1205</v>
      </c>
      <c r="J166" s="106">
        <v>44435</v>
      </c>
      <c r="K166" s="105"/>
      <c r="L166" s="105" t="s">
        <v>1181</v>
      </c>
      <c r="M166" s="105" t="s">
        <v>1182</v>
      </c>
      <c r="N166" s="106">
        <v>27861</v>
      </c>
      <c r="O166" s="119" t="s">
        <v>1150</v>
      </c>
      <c r="P166" s="105" t="s">
        <v>1183</v>
      </c>
      <c r="Q166" s="105" t="s">
        <v>1184</v>
      </c>
      <c r="R166" s="106">
        <v>44375</v>
      </c>
      <c r="S166" s="105" t="s">
        <v>1185</v>
      </c>
      <c r="T166" s="105" t="s">
        <v>1186</v>
      </c>
      <c r="U166" s="107" t="s">
        <v>1187</v>
      </c>
      <c r="V166" s="108">
        <v>45668</v>
      </c>
      <c r="W166">
        <v>3800405138</v>
      </c>
      <c r="X166" s="105" t="s">
        <v>1188</v>
      </c>
      <c r="Y166" s="109">
        <v>45861</v>
      </c>
      <c r="AB166" s="116" t="str">
        <f t="shared" si="13"/>
        <v>CÔNG TY CỔ PHẦN PHÁT TRIỂN HẠ TẦNG KỸ THUẬT BECAMEX - BÌNH PHƯỚC</v>
      </c>
      <c r="AC166" s="116" t="str">
        <f t="shared" si="14"/>
        <v>Căn 24 lô TĐC-31</v>
      </c>
      <c r="AD166" s="120">
        <f t="shared" si="12"/>
        <v>63</v>
      </c>
      <c r="AE166" s="121"/>
      <c r="AF166" s="113" t="s">
        <v>633</v>
      </c>
      <c r="AG166" s="111" t="s">
        <v>65</v>
      </c>
      <c r="AH166" s="111" t="s">
        <v>979</v>
      </c>
      <c r="AI166" s="104">
        <v>165</v>
      </c>
      <c r="AJ166" s="110"/>
    </row>
    <row r="167" spans="1:36" ht="18.75" x14ac:dyDescent="0.25">
      <c r="A167" s="105" t="s">
        <v>1177</v>
      </c>
      <c r="B167" s="112" t="s">
        <v>173</v>
      </c>
      <c r="C167" s="112" t="s">
        <v>173</v>
      </c>
      <c r="D167" s="105" t="s">
        <v>1655</v>
      </c>
      <c r="E167" s="105" t="s">
        <v>1656</v>
      </c>
      <c r="F167" s="105" t="s">
        <v>1657</v>
      </c>
      <c r="G167" s="105" t="s">
        <v>1657</v>
      </c>
      <c r="H167" s="105" t="s">
        <v>1658</v>
      </c>
      <c r="I167" s="105" t="s">
        <v>1205</v>
      </c>
      <c r="J167" s="106">
        <v>44435</v>
      </c>
      <c r="K167" s="105"/>
      <c r="L167" s="105" t="s">
        <v>1181</v>
      </c>
      <c r="M167" s="105" t="s">
        <v>1182</v>
      </c>
      <c r="N167" s="106">
        <v>27861</v>
      </c>
      <c r="O167" s="119" t="s">
        <v>1150</v>
      </c>
      <c r="P167" s="105" t="s">
        <v>1183</v>
      </c>
      <c r="Q167" s="105" t="s">
        <v>1184</v>
      </c>
      <c r="R167" s="106">
        <v>44375</v>
      </c>
      <c r="S167" s="105" t="s">
        <v>1185</v>
      </c>
      <c r="T167" s="105" t="s">
        <v>1186</v>
      </c>
      <c r="U167" s="107" t="s">
        <v>1187</v>
      </c>
      <c r="V167" s="108">
        <v>45668</v>
      </c>
      <c r="W167">
        <v>3800405138</v>
      </c>
      <c r="X167" s="105" t="s">
        <v>1188</v>
      </c>
      <c r="Y167" s="109">
        <v>45861</v>
      </c>
      <c r="AB167" s="116" t="str">
        <f t="shared" si="13"/>
        <v>CÔNG TY CỔ PHẦN PHÁT TRIỂN HẠ TẦNG KỸ THUẬT BECAMEX - BÌNH PHƯỚC</v>
      </c>
      <c r="AC167" s="116" t="str">
        <f t="shared" si="14"/>
        <v>Căn 25 lô TĐC-31</v>
      </c>
      <c r="AD167" s="120">
        <f t="shared" si="12"/>
        <v>64</v>
      </c>
      <c r="AE167" s="121"/>
      <c r="AF167" s="113" t="s">
        <v>634</v>
      </c>
      <c r="AG167" s="111" t="s">
        <v>65</v>
      </c>
      <c r="AH167" s="111" t="s">
        <v>980</v>
      </c>
      <c r="AI167" s="104">
        <v>166</v>
      </c>
      <c r="AJ167" s="110"/>
    </row>
    <row r="168" spans="1:36" ht="18.75" x14ac:dyDescent="0.25">
      <c r="A168" s="105" t="s">
        <v>1177</v>
      </c>
      <c r="B168" s="112" t="s">
        <v>109</v>
      </c>
      <c r="C168" s="112" t="s">
        <v>109</v>
      </c>
      <c r="D168" s="105" t="s">
        <v>1659</v>
      </c>
      <c r="E168" s="105" t="s">
        <v>139</v>
      </c>
      <c r="F168" s="105" t="s">
        <v>1203</v>
      </c>
      <c r="G168" s="105" t="s">
        <v>1203</v>
      </c>
      <c r="H168" s="105" t="s">
        <v>1660</v>
      </c>
      <c r="I168" s="105" t="s">
        <v>1205</v>
      </c>
      <c r="J168" s="106">
        <v>45092</v>
      </c>
      <c r="K168" s="105"/>
      <c r="L168" s="105" t="s">
        <v>1181</v>
      </c>
      <c r="M168" s="105" t="s">
        <v>1182</v>
      </c>
      <c r="N168" s="106">
        <v>27861</v>
      </c>
      <c r="O168" s="119" t="s">
        <v>1150</v>
      </c>
      <c r="P168" s="105" t="s">
        <v>1183</v>
      </c>
      <c r="Q168" s="105" t="s">
        <v>1184</v>
      </c>
      <c r="R168" s="106">
        <v>44375</v>
      </c>
      <c r="S168" s="105" t="s">
        <v>1185</v>
      </c>
      <c r="T168" s="105" t="s">
        <v>1186</v>
      </c>
      <c r="U168" s="107" t="s">
        <v>1187</v>
      </c>
      <c r="V168" s="108">
        <v>45668</v>
      </c>
      <c r="W168">
        <v>3800405138</v>
      </c>
      <c r="X168" s="105" t="s">
        <v>1188</v>
      </c>
      <c r="Y168" s="109">
        <v>45861</v>
      </c>
      <c r="AB168" s="116" t="str">
        <f t="shared" si="13"/>
        <v>CÔNG TY CỔ PHẦN PHÁT TRIỂN HẠ TẦNG KỸ THUẬT BECAMEX-BÌNH PHƯỚC(51 Lô TDC-31)</v>
      </c>
      <c r="AC168" s="116" t="str">
        <f t="shared" si="14"/>
        <v>Căn 51 lô TĐC-31</v>
      </c>
      <c r="AD168" s="120">
        <f t="shared" si="12"/>
        <v>86</v>
      </c>
      <c r="AE168" s="121"/>
      <c r="AF168" s="113" t="s">
        <v>635</v>
      </c>
      <c r="AG168" s="111" t="s">
        <v>65</v>
      </c>
      <c r="AH168" s="111" t="s">
        <v>981</v>
      </c>
      <c r="AI168" s="104">
        <v>167</v>
      </c>
      <c r="AJ168" s="110"/>
    </row>
    <row r="169" spans="1:36" ht="18.75" x14ac:dyDescent="0.25">
      <c r="A169" s="105" t="s">
        <v>1177</v>
      </c>
      <c r="B169" s="112" t="s">
        <v>605</v>
      </c>
      <c r="C169" s="112" t="s">
        <v>605</v>
      </c>
      <c r="D169" s="105" t="s">
        <v>1661</v>
      </c>
      <c r="E169" s="105" t="s">
        <v>65</v>
      </c>
      <c r="F169" s="105" t="s">
        <v>1662</v>
      </c>
      <c r="G169" s="105" t="s">
        <v>1662</v>
      </c>
      <c r="H169" s="105" t="s">
        <v>1663</v>
      </c>
      <c r="I169" s="105" t="s">
        <v>1192</v>
      </c>
      <c r="J169" s="106">
        <v>45549</v>
      </c>
      <c r="K169" s="105"/>
      <c r="L169" s="105" t="s">
        <v>1181</v>
      </c>
      <c r="M169" s="105" t="s">
        <v>1182</v>
      </c>
      <c r="N169" s="106">
        <v>27861</v>
      </c>
      <c r="O169" s="119" t="s">
        <v>1150</v>
      </c>
      <c r="P169" s="105" t="s">
        <v>1183</v>
      </c>
      <c r="Q169" s="105" t="s">
        <v>1184</v>
      </c>
      <c r="R169" s="106">
        <v>44375</v>
      </c>
      <c r="S169" s="105" t="s">
        <v>1185</v>
      </c>
      <c r="T169" s="105" t="s">
        <v>1186</v>
      </c>
      <c r="U169" s="107" t="s">
        <v>1187</v>
      </c>
      <c r="V169" s="108">
        <v>45668</v>
      </c>
      <c r="W169">
        <v>3800405138</v>
      </c>
      <c r="X169" s="105" t="s">
        <v>1188</v>
      </c>
      <c r="Y169" s="109">
        <v>45861</v>
      </c>
      <c r="AB169" s="116" t="str">
        <f t="shared" si="13"/>
        <v>CÔNG TY CỔ PHẦN PHÁT TRIỂN HẠ TẦNG KỸ THUẬT BECAMEX - BÌNH PHƯỚC</v>
      </c>
      <c r="AC169" s="116" t="str">
        <f t="shared" si="14"/>
        <v>Căn 63 lô AM-16</v>
      </c>
      <c r="AD169" s="120">
        <f t="shared" si="12"/>
        <v>194</v>
      </c>
      <c r="AE169" s="121"/>
      <c r="AF169" s="113" t="s">
        <v>636</v>
      </c>
      <c r="AG169" s="111" t="s">
        <v>65</v>
      </c>
      <c r="AH169" s="111" t="s">
        <v>982</v>
      </c>
      <c r="AI169" s="104">
        <v>168</v>
      </c>
      <c r="AJ169" s="110"/>
    </row>
    <row r="170" spans="1:36" ht="18.75" x14ac:dyDescent="0.25">
      <c r="A170" s="105" t="s">
        <v>1177</v>
      </c>
      <c r="B170" s="112" t="s">
        <v>309</v>
      </c>
      <c r="C170" s="112" t="s">
        <v>309</v>
      </c>
      <c r="D170" s="105" t="s">
        <v>1664</v>
      </c>
      <c r="E170" s="105" t="s">
        <v>65</v>
      </c>
      <c r="F170" s="105" t="s">
        <v>1665</v>
      </c>
      <c r="G170" s="105" t="s">
        <v>1665</v>
      </c>
      <c r="H170" s="105" t="s">
        <v>1666</v>
      </c>
      <c r="I170" s="105" t="s">
        <v>1192</v>
      </c>
      <c r="J170" s="106">
        <v>45551</v>
      </c>
      <c r="K170" s="105"/>
      <c r="L170" s="105" t="s">
        <v>1181</v>
      </c>
      <c r="M170" s="105" t="s">
        <v>1182</v>
      </c>
      <c r="N170" s="106">
        <v>27861</v>
      </c>
      <c r="O170" s="119" t="s">
        <v>1150</v>
      </c>
      <c r="P170" s="105" t="s">
        <v>1183</v>
      </c>
      <c r="Q170" s="105" t="s">
        <v>1184</v>
      </c>
      <c r="R170" s="106">
        <v>44375</v>
      </c>
      <c r="S170" s="105" t="s">
        <v>1185</v>
      </c>
      <c r="T170" s="105" t="s">
        <v>1186</v>
      </c>
      <c r="U170" s="107" t="s">
        <v>1187</v>
      </c>
      <c r="V170" s="108">
        <v>45668</v>
      </c>
      <c r="W170">
        <v>3800405138</v>
      </c>
      <c r="X170" s="105" t="s">
        <v>1188</v>
      </c>
      <c r="Y170" s="109">
        <v>45861</v>
      </c>
      <c r="AB170" s="116" t="str">
        <f t="shared" si="13"/>
        <v>CÔNG TY CỔ PHẦN PHÁT TRIỂN HẠ TẦNG KỸ THUẬT BECAMEX - BÌNH PHƯỚC</v>
      </c>
      <c r="AC170" s="116" t="str">
        <f t="shared" si="14"/>
        <v>Căn 74 lô AM-16</v>
      </c>
      <c r="AD170" s="120">
        <f t="shared" si="12"/>
        <v>205</v>
      </c>
      <c r="AE170" s="121"/>
      <c r="AF170" s="113" t="s">
        <v>637</v>
      </c>
      <c r="AG170" s="111" t="s">
        <v>65</v>
      </c>
      <c r="AH170" s="111" t="s">
        <v>983</v>
      </c>
      <c r="AI170" s="104">
        <v>169</v>
      </c>
      <c r="AJ170" s="110"/>
    </row>
    <row r="171" spans="1:36" ht="18.75" x14ac:dyDescent="0.25">
      <c r="A171" s="105" t="s">
        <v>1177</v>
      </c>
      <c r="B171" s="112" t="s">
        <v>343</v>
      </c>
      <c r="C171" s="112" t="s">
        <v>343</v>
      </c>
      <c r="D171" s="105" t="s">
        <v>1667</v>
      </c>
      <c r="E171" s="105" t="s">
        <v>65</v>
      </c>
      <c r="F171" s="105" t="s">
        <v>1668</v>
      </c>
      <c r="G171" s="105" t="s">
        <v>1668</v>
      </c>
      <c r="H171" s="105" t="s">
        <v>1669</v>
      </c>
      <c r="I171" s="105" t="s">
        <v>1192</v>
      </c>
      <c r="J171" s="106">
        <v>45551</v>
      </c>
      <c r="K171" s="105"/>
      <c r="L171" s="105" t="s">
        <v>1181</v>
      </c>
      <c r="M171" s="105" t="s">
        <v>1182</v>
      </c>
      <c r="N171" s="106">
        <v>27861</v>
      </c>
      <c r="O171" s="119" t="s">
        <v>1150</v>
      </c>
      <c r="P171" s="105" t="s">
        <v>1183</v>
      </c>
      <c r="Q171" s="105" t="s">
        <v>1184</v>
      </c>
      <c r="R171" s="106">
        <v>44375</v>
      </c>
      <c r="S171" s="105" t="s">
        <v>1185</v>
      </c>
      <c r="T171" s="105" t="s">
        <v>1186</v>
      </c>
      <c r="U171" s="107" t="s">
        <v>1187</v>
      </c>
      <c r="V171" s="108">
        <v>45668</v>
      </c>
      <c r="W171">
        <v>3800405138</v>
      </c>
      <c r="X171" s="105" t="s">
        <v>1188</v>
      </c>
      <c r="Y171" s="109">
        <v>45861</v>
      </c>
      <c r="AB171" s="116" t="str">
        <f t="shared" si="13"/>
        <v>CÔNG TY CỔ PHẦN PHÁT TRIỂN HẠ TẦNG KỸ THUẬT BECAMEX - BÌNH PHƯỚC</v>
      </c>
      <c r="AC171" s="116" t="str">
        <f t="shared" si="14"/>
        <v>Căn 19 lô AM-16</v>
      </c>
      <c r="AD171" s="120">
        <f t="shared" si="12"/>
        <v>150</v>
      </c>
      <c r="AE171" s="121"/>
      <c r="AF171" s="113" t="s">
        <v>638</v>
      </c>
      <c r="AG171" s="111" t="s">
        <v>65</v>
      </c>
      <c r="AH171" s="111" t="s">
        <v>984</v>
      </c>
      <c r="AI171" s="104">
        <v>170</v>
      </c>
      <c r="AJ171" s="110"/>
    </row>
    <row r="172" spans="1:36" ht="18.75" x14ac:dyDescent="0.25">
      <c r="A172" s="105" t="s">
        <v>1177</v>
      </c>
      <c r="B172" s="112" t="s">
        <v>100</v>
      </c>
      <c r="C172" s="112" t="s">
        <v>100</v>
      </c>
      <c r="D172" s="105" t="s">
        <v>1670</v>
      </c>
      <c r="E172" s="105" t="s">
        <v>130</v>
      </c>
      <c r="F172" s="105" t="s">
        <v>1203</v>
      </c>
      <c r="G172" s="105" t="s">
        <v>1203</v>
      </c>
      <c r="H172" s="105" t="s">
        <v>1671</v>
      </c>
      <c r="I172" s="105" t="s">
        <v>1205</v>
      </c>
      <c r="J172" s="106">
        <v>45090</v>
      </c>
      <c r="K172" s="105"/>
      <c r="L172" s="105" t="s">
        <v>1181</v>
      </c>
      <c r="M172" s="105" t="s">
        <v>1182</v>
      </c>
      <c r="N172" s="106">
        <v>27861</v>
      </c>
      <c r="O172" s="119" t="s">
        <v>1150</v>
      </c>
      <c r="P172" s="105" t="s">
        <v>1183</v>
      </c>
      <c r="Q172" s="105" t="s">
        <v>1184</v>
      </c>
      <c r="R172" s="106">
        <v>44375</v>
      </c>
      <c r="S172" s="105" t="s">
        <v>1185</v>
      </c>
      <c r="T172" s="105" t="s">
        <v>1186</v>
      </c>
      <c r="U172" s="107" t="s">
        <v>1187</v>
      </c>
      <c r="V172" s="108">
        <v>45668</v>
      </c>
      <c r="W172">
        <v>3800405138</v>
      </c>
      <c r="X172" s="105" t="s">
        <v>1188</v>
      </c>
      <c r="Y172" s="109">
        <v>45861</v>
      </c>
      <c r="AB172" s="116" t="str">
        <f t="shared" si="13"/>
        <v>CÔNG TY CỔ PHẦN PHÁT TRIỂN HẠ TẦNG KỸ THUẬT BECAMEX-BÌNH PHƯỚC(40 Lô TDC-31)</v>
      </c>
      <c r="AC172" s="116" t="str">
        <f t="shared" si="14"/>
        <v>Căn 40 lô TĐC-31</v>
      </c>
      <c r="AD172" s="120">
        <f t="shared" si="12"/>
        <v>75</v>
      </c>
      <c r="AE172" s="121"/>
      <c r="AF172" s="113" t="s">
        <v>639</v>
      </c>
      <c r="AG172" s="111" t="s">
        <v>65</v>
      </c>
      <c r="AH172" s="111" t="s">
        <v>985</v>
      </c>
      <c r="AI172" s="104">
        <v>171</v>
      </c>
      <c r="AJ172" s="110"/>
    </row>
    <row r="173" spans="1:36" ht="18.75" x14ac:dyDescent="0.25">
      <c r="A173" s="105" t="s">
        <v>1177</v>
      </c>
      <c r="B173" s="112" t="s">
        <v>640</v>
      </c>
      <c r="C173" s="112" t="s">
        <v>640</v>
      </c>
      <c r="D173" s="105" t="s">
        <v>1672</v>
      </c>
      <c r="E173" s="105" t="s">
        <v>65</v>
      </c>
      <c r="F173" s="105" t="s">
        <v>1673</v>
      </c>
      <c r="G173" s="105" t="s">
        <v>1673</v>
      </c>
      <c r="H173" s="105" t="s">
        <v>1674</v>
      </c>
      <c r="I173" s="105" t="s">
        <v>1192</v>
      </c>
      <c r="J173" s="106">
        <v>45549</v>
      </c>
      <c r="K173" s="105"/>
      <c r="L173" s="105" t="s">
        <v>1181</v>
      </c>
      <c r="M173" s="105" t="s">
        <v>1182</v>
      </c>
      <c r="N173" s="106">
        <v>27861</v>
      </c>
      <c r="O173" s="119" t="s">
        <v>1150</v>
      </c>
      <c r="P173" s="105" t="s">
        <v>1183</v>
      </c>
      <c r="Q173" s="105" t="s">
        <v>1184</v>
      </c>
      <c r="R173" s="106">
        <v>44375</v>
      </c>
      <c r="S173" s="105" t="s">
        <v>1185</v>
      </c>
      <c r="T173" s="105" t="s">
        <v>1186</v>
      </c>
      <c r="U173" s="107" t="s">
        <v>1187</v>
      </c>
      <c r="V173" s="108">
        <v>45668</v>
      </c>
      <c r="W173">
        <v>3800405138</v>
      </c>
      <c r="X173" s="105" t="s">
        <v>1188</v>
      </c>
      <c r="Y173" s="109">
        <v>45861</v>
      </c>
      <c r="AB173" s="116" t="str">
        <f t="shared" si="13"/>
        <v>CÔNG TY CỔ PHẦN PHÁT TRIỂN HẠ TẦNG KỸ THUẬT BECAMEX - BÌNH PHƯỚC</v>
      </c>
      <c r="AC173" s="116" t="str">
        <f t="shared" si="14"/>
        <v>Căn 41 lô AM-16</v>
      </c>
      <c r="AD173" s="120">
        <f t="shared" si="12"/>
        <v>172</v>
      </c>
      <c r="AE173" s="121"/>
      <c r="AF173" s="113" t="s">
        <v>640</v>
      </c>
      <c r="AG173" s="111" t="s">
        <v>65</v>
      </c>
      <c r="AH173" s="111" t="s">
        <v>986</v>
      </c>
      <c r="AI173" s="104">
        <v>172</v>
      </c>
      <c r="AJ173" s="110"/>
    </row>
    <row r="174" spans="1:36" ht="18.75" x14ac:dyDescent="0.25">
      <c r="A174" s="105" t="s">
        <v>1177</v>
      </c>
      <c r="B174" s="112" t="s">
        <v>341</v>
      </c>
      <c r="C174" s="112" t="s">
        <v>341</v>
      </c>
      <c r="D174" s="105" t="s">
        <v>1675</v>
      </c>
      <c r="E174" s="105" t="s">
        <v>65</v>
      </c>
      <c r="F174" s="105" t="s">
        <v>1676</v>
      </c>
      <c r="G174" s="105" t="s">
        <v>1676</v>
      </c>
      <c r="H174" s="105" t="s">
        <v>1677</v>
      </c>
      <c r="I174" s="105" t="s">
        <v>1192</v>
      </c>
      <c r="J174" s="106">
        <v>45551</v>
      </c>
      <c r="K174" s="105"/>
      <c r="L174" s="105" t="s">
        <v>1181</v>
      </c>
      <c r="M174" s="105" t="s">
        <v>1182</v>
      </c>
      <c r="N174" s="106">
        <v>27861</v>
      </c>
      <c r="O174" s="119" t="s">
        <v>1150</v>
      </c>
      <c r="P174" s="105" t="s">
        <v>1183</v>
      </c>
      <c r="Q174" s="105" t="s">
        <v>1184</v>
      </c>
      <c r="R174" s="106">
        <v>44375</v>
      </c>
      <c r="S174" s="105" t="s">
        <v>1185</v>
      </c>
      <c r="T174" s="105" t="s">
        <v>1186</v>
      </c>
      <c r="U174" s="107" t="s">
        <v>1187</v>
      </c>
      <c r="V174" s="108">
        <v>45668</v>
      </c>
      <c r="W174">
        <v>3800405138</v>
      </c>
      <c r="X174" s="105" t="s">
        <v>1188</v>
      </c>
      <c r="Y174" s="109">
        <v>45861</v>
      </c>
      <c r="AB174" s="116" t="str">
        <f t="shared" si="13"/>
        <v>CÔNG TY CỔ PHẦN PHÁT TRIỂN HẠ TẦNG KỸ THUẬT BECAMEX - BÌNH PHƯỚC</v>
      </c>
      <c r="AC174" s="116" t="str">
        <f t="shared" si="14"/>
        <v>Căn 01 lô AM-16</v>
      </c>
      <c r="AD174" s="120">
        <f t="shared" si="12"/>
        <v>132</v>
      </c>
      <c r="AE174" s="121"/>
      <c r="AF174" s="113" t="s">
        <v>340</v>
      </c>
      <c r="AG174" s="111" t="s">
        <v>65</v>
      </c>
      <c r="AH174" s="111" t="s">
        <v>987</v>
      </c>
      <c r="AI174" s="104">
        <v>173</v>
      </c>
      <c r="AJ174" s="110"/>
    </row>
    <row r="175" spans="1:36" ht="18.75" x14ac:dyDescent="0.25">
      <c r="A175" s="105" t="s">
        <v>1177</v>
      </c>
      <c r="B175" s="112" t="s">
        <v>224</v>
      </c>
      <c r="C175" s="112" t="s">
        <v>224</v>
      </c>
      <c r="D175" s="105" t="s">
        <v>1678</v>
      </c>
      <c r="E175" s="105" t="s">
        <v>65</v>
      </c>
      <c r="F175" s="105" t="s">
        <v>1679</v>
      </c>
      <c r="G175" s="105" t="s">
        <v>1679</v>
      </c>
      <c r="H175" s="105" t="s">
        <v>249</v>
      </c>
      <c r="I175" s="105" t="s">
        <v>1180</v>
      </c>
      <c r="J175" s="106">
        <v>45511</v>
      </c>
      <c r="K175" s="105"/>
      <c r="L175" s="105" t="s">
        <v>1181</v>
      </c>
      <c r="M175" s="105" t="s">
        <v>1182</v>
      </c>
      <c r="N175" s="106">
        <v>27861</v>
      </c>
      <c r="O175" s="119" t="s">
        <v>1150</v>
      </c>
      <c r="P175" s="105" t="s">
        <v>1183</v>
      </c>
      <c r="Q175" s="105" t="s">
        <v>1184</v>
      </c>
      <c r="R175" s="106">
        <v>44375</v>
      </c>
      <c r="S175" s="105" t="s">
        <v>1185</v>
      </c>
      <c r="T175" s="105" t="s">
        <v>1186</v>
      </c>
      <c r="U175" s="107" t="s">
        <v>1187</v>
      </c>
      <c r="V175" s="108">
        <v>45668</v>
      </c>
      <c r="W175">
        <v>3800405138</v>
      </c>
      <c r="X175" s="105" t="s">
        <v>1188</v>
      </c>
      <c r="Y175" s="109">
        <v>45861</v>
      </c>
      <c r="AB175" s="116" t="str">
        <f t="shared" si="13"/>
        <v>CÔNG TY CỔ PHẦN PHÁT TRIỂN HẠ TẦNG KỸ THUẬT BECAMEX - BÌNH PHƯỚC</v>
      </c>
      <c r="AC175" s="116" t="str">
        <f t="shared" si="14"/>
        <v>Căn 16 lô TĐC-44</v>
      </c>
      <c r="AD175" s="120">
        <f t="shared" si="12"/>
        <v>107</v>
      </c>
      <c r="AE175" s="121"/>
      <c r="AF175" s="113" t="s">
        <v>339</v>
      </c>
      <c r="AG175" s="111" t="s">
        <v>65</v>
      </c>
      <c r="AH175" s="111" t="s">
        <v>988</v>
      </c>
      <c r="AI175" s="104">
        <v>174</v>
      </c>
      <c r="AJ175" s="110"/>
    </row>
    <row r="176" spans="1:36" ht="18.75" x14ac:dyDescent="0.25">
      <c r="A176" s="105" t="s">
        <v>1177</v>
      </c>
      <c r="B176" s="112" t="s">
        <v>234</v>
      </c>
      <c r="C176" s="112" t="s">
        <v>234</v>
      </c>
      <c r="D176" s="105" t="s">
        <v>1680</v>
      </c>
      <c r="E176" s="105" t="s">
        <v>65</v>
      </c>
      <c r="F176" s="105" t="s">
        <v>1681</v>
      </c>
      <c r="G176" s="105" t="s">
        <v>1681</v>
      </c>
      <c r="H176" s="105" t="s">
        <v>259</v>
      </c>
      <c r="I176" s="105" t="s">
        <v>1180</v>
      </c>
      <c r="J176" s="106">
        <v>45511</v>
      </c>
      <c r="K176" s="105"/>
      <c r="L176" s="105" t="s">
        <v>1181</v>
      </c>
      <c r="M176" s="105" t="s">
        <v>1182</v>
      </c>
      <c r="N176" s="106">
        <v>27861</v>
      </c>
      <c r="O176" s="119" t="s">
        <v>1150</v>
      </c>
      <c r="P176" s="105" t="s">
        <v>1183</v>
      </c>
      <c r="Q176" s="105" t="s">
        <v>1184</v>
      </c>
      <c r="R176" s="106">
        <v>44375</v>
      </c>
      <c r="S176" s="105" t="s">
        <v>1185</v>
      </c>
      <c r="T176" s="105" t="s">
        <v>1186</v>
      </c>
      <c r="U176" s="107" t="s">
        <v>1187</v>
      </c>
      <c r="V176" s="108">
        <v>45668</v>
      </c>
      <c r="W176">
        <v>3800405138</v>
      </c>
      <c r="X176" s="105" t="s">
        <v>1188</v>
      </c>
      <c r="Y176" s="109">
        <v>45861</v>
      </c>
      <c r="AB176" s="116" t="str">
        <f t="shared" si="13"/>
        <v>CÔNG TY CỔ PHẦN PHÁT TRIỂN HẠ TẦNG KỸ THUẬT BECAMEX - BÌNH PHƯỚC</v>
      </c>
      <c r="AC176" s="116" t="str">
        <f t="shared" si="14"/>
        <v>Căn 26 lô TĐC-44</v>
      </c>
      <c r="AD176" s="120">
        <f t="shared" si="12"/>
        <v>117</v>
      </c>
      <c r="AE176" s="121"/>
      <c r="AF176" s="113" t="s">
        <v>338</v>
      </c>
      <c r="AG176" s="111" t="s">
        <v>65</v>
      </c>
      <c r="AH176" s="111" t="s">
        <v>989</v>
      </c>
      <c r="AI176" s="104">
        <v>175</v>
      </c>
      <c r="AJ176" s="110"/>
    </row>
    <row r="177" spans="1:36" ht="18.75" x14ac:dyDescent="0.25">
      <c r="A177" s="105" t="s">
        <v>1177</v>
      </c>
      <c r="B177" s="112" t="s">
        <v>161</v>
      </c>
      <c r="C177" s="112" t="s">
        <v>161</v>
      </c>
      <c r="D177" s="105" t="s">
        <v>1682</v>
      </c>
      <c r="E177" s="105" t="s">
        <v>1683</v>
      </c>
      <c r="F177" s="105" t="s">
        <v>1684</v>
      </c>
      <c r="G177" s="105" t="s">
        <v>1684</v>
      </c>
      <c r="H177" s="105" t="s">
        <v>1685</v>
      </c>
      <c r="I177" s="105" t="s">
        <v>1205</v>
      </c>
      <c r="J177" s="106">
        <v>44519</v>
      </c>
      <c r="K177" s="105"/>
      <c r="L177" s="105" t="s">
        <v>1181</v>
      </c>
      <c r="M177" s="105" t="s">
        <v>1182</v>
      </c>
      <c r="N177" s="106">
        <v>27861</v>
      </c>
      <c r="O177" s="119" t="s">
        <v>1150</v>
      </c>
      <c r="P177" s="105" t="s">
        <v>1183</v>
      </c>
      <c r="Q177" s="105" t="s">
        <v>1184</v>
      </c>
      <c r="R177" s="106">
        <v>44375</v>
      </c>
      <c r="S177" s="105" t="s">
        <v>1185</v>
      </c>
      <c r="T177" s="105" t="s">
        <v>1186</v>
      </c>
      <c r="U177" s="107" t="s">
        <v>1187</v>
      </c>
      <c r="V177" s="108">
        <v>45668</v>
      </c>
      <c r="W177">
        <v>3800405138</v>
      </c>
      <c r="X177" s="105" t="s">
        <v>1188</v>
      </c>
      <c r="Y177" s="109">
        <v>45861</v>
      </c>
      <c r="AB177" s="116" t="str">
        <f t="shared" si="13"/>
        <v>CÔNG TY CỔ PHẦN PHÁT TRIỂN HẠ TẦNG KỸ THUẬT BECAMEX - BÌNH PHƯỚC</v>
      </c>
      <c r="AC177" s="116" t="str">
        <f t="shared" si="14"/>
        <v>Căn 13 lô TĐC-31</v>
      </c>
      <c r="AD177" s="120">
        <f t="shared" si="12"/>
        <v>52</v>
      </c>
      <c r="AE177" s="121"/>
      <c r="AF177" s="113" t="s">
        <v>337</v>
      </c>
      <c r="AG177" s="111" t="s">
        <v>65</v>
      </c>
      <c r="AH177" s="111" t="s">
        <v>990</v>
      </c>
      <c r="AI177" s="104">
        <v>176</v>
      </c>
      <c r="AJ177" s="110"/>
    </row>
    <row r="178" spans="1:36" ht="18.75" x14ac:dyDescent="0.25">
      <c r="A178" s="105" t="s">
        <v>1177</v>
      </c>
      <c r="B178" s="112" t="s">
        <v>325</v>
      </c>
      <c r="C178" s="112" t="s">
        <v>325</v>
      </c>
      <c r="D178" s="105" t="s">
        <v>1686</v>
      </c>
      <c r="E178" s="105" t="s">
        <v>65</v>
      </c>
      <c r="F178" s="105" t="s">
        <v>1687</v>
      </c>
      <c r="G178" s="105" t="s">
        <v>1687</v>
      </c>
      <c r="H178" s="105" t="s">
        <v>1688</v>
      </c>
      <c r="I178" s="105" t="s">
        <v>1192</v>
      </c>
      <c r="J178" s="106">
        <v>45551</v>
      </c>
      <c r="K178" s="105"/>
      <c r="L178" s="105" t="s">
        <v>1181</v>
      </c>
      <c r="M178" s="105" t="s">
        <v>1182</v>
      </c>
      <c r="N178" s="106">
        <v>27861</v>
      </c>
      <c r="O178" s="119" t="s">
        <v>1150</v>
      </c>
      <c r="P178" s="105" t="s">
        <v>1183</v>
      </c>
      <c r="Q178" s="105" t="s">
        <v>1184</v>
      </c>
      <c r="R178" s="106">
        <v>44375</v>
      </c>
      <c r="S178" s="105" t="s">
        <v>1185</v>
      </c>
      <c r="T178" s="105" t="s">
        <v>1186</v>
      </c>
      <c r="U178" s="107" t="s">
        <v>1187</v>
      </c>
      <c r="V178" s="108">
        <v>45668</v>
      </c>
      <c r="W178">
        <v>3800405138</v>
      </c>
      <c r="X178" s="105" t="s">
        <v>1188</v>
      </c>
      <c r="Y178" s="109">
        <v>45861</v>
      </c>
      <c r="AB178" s="116" t="str">
        <f t="shared" si="13"/>
        <v>CÔNG TY CỔ PHẦN PHÁT TRIỂN HẠ TẦNG KỸ THUẬT BECAMEX - BÌNH PHƯỚC</v>
      </c>
      <c r="AC178" s="116" t="str">
        <f t="shared" si="14"/>
        <v>Căn 58 lô AM-16</v>
      </c>
      <c r="AD178" s="120">
        <f t="shared" si="12"/>
        <v>189</v>
      </c>
      <c r="AE178" s="121"/>
      <c r="AF178" s="113" t="s">
        <v>299</v>
      </c>
      <c r="AG178" s="111" t="s">
        <v>65</v>
      </c>
      <c r="AH178" s="111" t="s">
        <v>991</v>
      </c>
      <c r="AI178" s="104">
        <v>177</v>
      </c>
      <c r="AJ178" s="110"/>
    </row>
    <row r="179" spans="1:36" ht="18.75" x14ac:dyDescent="0.25">
      <c r="A179" s="105" t="s">
        <v>1177</v>
      </c>
      <c r="B179" s="112" t="s">
        <v>609</v>
      </c>
      <c r="C179" s="112" t="s">
        <v>609</v>
      </c>
      <c r="D179" s="105" t="s">
        <v>1689</v>
      </c>
      <c r="E179" s="105" t="s">
        <v>65</v>
      </c>
      <c r="F179" s="105" t="s">
        <v>1690</v>
      </c>
      <c r="G179" s="105" t="s">
        <v>1690</v>
      </c>
      <c r="H179" s="105" t="s">
        <v>1691</v>
      </c>
      <c r="I179" s="105" t="s">
        <v>1192</v>
      </c>
      <c r="J179" s="106">
        <v>45549</v>
      </c>
      <c r="K179" s="105"/>
      <c r="L179" s="105" t="s">
        <v>1181</v>
      </c>
      <c r="M179" s="105" t="s">
        <v>1182</v>
      </c>
      <c r="N179" s="106">
        <v>27861</v>
      </c>
      <c r="O179" s="119" t="s">
        <v>1150</v>
      </c>
      <c r="P179" s="105" t="s">
        <v>1183</v>
      </c>
      <c r="Q179" s="105" t="s">
        <v>1184</v>
      </c>
      <c r="R179" s="106">
        <v>44375</v>
      </c>
      <c r="S179" s="105" t="s">
        <v>1185</v>
      </c>
      <c r="T179" s="105" t="s">
        <v>1186</v>
      </c>
      <c r="U179" s="107" t="s">
        <v>1187</v>
      </c>
      <c r="V179" s="108">
        <v>45668</v>
      </c>
      <c r="W179">
        <v>3800405138</v>
      </c>
      <c r="X179" s="105" t="s">
        <v>1188</v>
      </c>
      <c r="Y179" s="109">
        <v>45861</v>
      </c>
      <c r="AB179" s="116" t="str">
        <f t="shared" si="13"/>
        <v>CÔNG TY CỔ PHẦN PHÁT TRIỂN HẠ TẦNG KỸ THUẬT BECAMEX - BÌNH PHƯỚC</v>
      </c>
      <c r="AC179" s="116" t="str">
        <f t="shared" si="14"/>
        <v>Căn 67 lô AM-16</v>
      </c>
      <c r="AD179" s="120">
        <f t="shared" si="12"/>
        <v>198</v>
      </c>
      <c r="AE179" s="121"/>
      <c r="AF179" s="113" t="s">
        <v>336</v>
      </c>
      <c r="AG179" s="111" t="s">
        <v>65</v>
      </c>
      <c r="AH179" s="111" t="s">
        <v>992</v>
      </c>
      <c r="AI179" s="104">
        <v>178</v>
      </c>
      <c r="AJ179" s="110"/>
    </row>
    <row r="180" spans="1:36" ht="18.75" x14ac:dyDescent="0.25">
      <c r="A180" s="105" t="s">
        <v>1177</v>
      </c>
      <c r="B180" s="112" t="s">
        <v>118</v>
      </c>
      <c r="C180" s="112" t="s">
        <v>118</v>
      </c>
      <c r="D180" s="105" t="s">
        <v>1692</v>
      </c>
      <c r="E180" s="105" t="s">
        <v>148</v>
      </c>
      <c r="F180" s="105" t="s">
        <v>1203</v>
      </c>
      <c r="G180" s="105" t="s">
        <v>1203</v>
      </c>
      <c r="H180" s="105" t="s">
        <v>1693</v>
      </c>
      <c r="I180" s="105" t="s">
        <v>1205</v>
      </c>
      <c r="J180" s="106">
        <v>45092</v>
      </c>
      <c r="K180" s="105"/>
      <c r="L180" s="105" t="s">
        <v>1181</v>
      </c>
      <c r="M180" s="105" t="s">
        <v>1182</v>
      </c>
      <c r="N180" s="106">
        <v>27861</v>
      </c>
      <c r="O180" s="119" t="s">
        <v>1150</v>
      </c>
      <c r="P180" s="105" t="s">
        <v>1183</v>
      </c>
      <c r="Q180" s="105" t="s">
        <v>1184</v>
      </c>
      <c r="R180" s="106">
        <v>44375</v>
      </c>
      <c r="S180" s="105" t="s">
        <v>1185</v>
      </c>
      <c r="T180" s="105" t="s">
        <v>1186</v>
      </c>
      <c r="U180" s="107" t="s">
        <v>1187</v>
      </c>
      <c r="V180" s="108">
        <v>45668</v>
      </c>
      <c r="W180">
        <v>3800405138</v>
      </c>
      <c r="X180" s="105" t="s">
        <v>1188</v>
      </c>
      <c r="Y180" s="109">
        <v>45861</v>
      </c>
      <c r="AB180" s="116" t="str">
        <f t="shared" si="13"/>
        <v>CÔNG TY CỔ PHẦN PHÁT TRIỂN HẠ TẦNG KỸ THUẬT BECAMEX-BÌNH PHƯỚC(41 Lô TDC-31)</v>
      </c>
      <c r="AC180" s="116" t="str">
        <f t="shared" si="14"/>
        <v>Căn 41 lô TĐC-31</v>
      </c>
      <c r="AD180" s="120">
        <f t="shared" si="12"/>
        <v>76</v>
      </c>
      <c r="AE180" s="121"/>
      <c r="AF180" s="113" t="s">
        <v>335</v>
      </c>
      <c r="AG180" s="111" t="s">
        <v>65</v>
      </c>
      <c r="AH180" s="111" t="s">
        <v>993</v>
      </c>
      <c r="AI180" s="104">
        <v>179</v>
      </c>
      <c r="AJ180" s="110"/>
    </row>
    <row r="181" spans="1:36" ht="18.75" x14ac:dyDescent="0.25">
      <c r="A181" s="105" t="s">
        <v>1177</v>
      </c>
      <c r="B181" s="142" t="s">
        <v>1694</v>
      </c>
      <c r="C181" s="112" t="s">
        <v>1694</v>
      </c>
      <c r="D181" s="105" t="s">
        <v>1695</v>
      </c>
      <c r="E181" s="105" t="s">
        <v>1208</v>
      </c>
      <c r="F181" s="119" t="s">
        <v>1732</v>
      </c>
      <c r="G181" s="105" t="s">
        <v>1203</v>
      </c>
      <c r="H181" s="105" t="s">
        <v>1696</v>
      </c>
      <c r="I181" s="143" t="s">
        <v>1210</v>
      </c>
      <c r="J181" s="106">
        <v>45652</v>
      </c>
      <c r="K181" s="105"/>
      <c r="L181" s="105" t="s">
        <v>1181</v>
      </c>
      <c r="M181" s="105" t="s">
        <v>1182</v>
      </c>
      <c r="N181" s="106">
        <v>27861</v>
      </c>
      <c r="O181" s="119" t="s">
        <v>1150</v>
      </c>
      <c r="P181" s="105" t="s">
        <v>1183</v>
      </c>
      <c r="Q181" s="105" t="s">
        <v>1184</v>
      </c>
      <c r="R181" s="106">
        <v>44375</v>
      </c>
      <c r="S181" s="105" t="s">
        <v>1185</v>
      </c>
      <c r="T181" s="105" t="s">
        <v>1186</v>
      </c>
      <c r="U181" s="107" t="s">
        <v>1187</v>
      </c>
      <c r="V181" s="108">
        <v>45668</v>
      </c>
      <c r="W181">
        <v>3800405138</v>
      </c>
      <c r="X181" s="105" t="s">
        <v>1188</v>
      </c>
      <c r="Y181" s="109">
        <v>45861</v>
      </c>
      <c r="AB181" s="126" t="e">
        <f t="shared" si="13"/>
        <v>#N/A</v>
      </c>
      <c r="AC181" s="126" t="e">
        <f t="shared" si="14"/>
        <v>#N/A</v>
      </c>
      <c r="AD181" s="144" t="e">
        <f t="shared" si="12"/>
        <v>#N/A</v>
      </c>
      <c r="AE181" s="121"/>
      <c r="AF181" s="113" t="s">
        <v>334</v>
      </c>
      <c r="AG181" s="111" t="s">
        <v>65</v>
      </c>
      <c r="AH181" s="111" t="s">
        <v>994</v>
      </c>
      <c r="AI181" s="104">
        <v>180</v>
      </c>
      <c r="AJ181" s="110"/>
    </row>
    <row r="182" spans="1:36" ht="18.75" x14ac:dyDescent="0.25">
      <c r="A182" s="105" t="s">
        <v>1177</v>
      </c>
      <c r="B182" s="112" t="s">
        <v>182</v>
      </c>
      <c r="C182" s="112" t="s">
        <v>182</v>
      </c>
      <c r="D182" s="105" t="s">
        <v>1697</v>
      </c>
      <c r="E182" s="105" t="s">
        <v>65</v>
      </c>
      <c r="F182" s="105" t="s">
        <v>1698</v>
      </c>
      <c r="G182" s="105" t="s">
        <v>1698</v>
      </c>
      <c r="H182" s="105" t="s">
        <v>189</v>
      </c>
      <c r="I182" s="105" t="s">
        <v>1192</v>
      </c>
      <c r="J182" s="106">
        <v>45457</v>
      </c>
      <c r="K182" s="105"/>
      <c r="L182" s="105" t="s">
        <v>1181</v>
      </c>
      <c r="M182" s="105" t="s">
        <v>1182</v>
      </c>
      <c r="N182" s="106">
        <v>27861</v>
      </c>
      <c r="O182" s="119" t="s">
        <v>1150</v>
      </c>
      <c r="P182" s="105" t="s">
        <v>1183</v>
      </c>
      <c r="Q182" s="105" t="s">
        <v>1184</v>
      </c>
      <c r="R182" s="106">
        <v>44375</v>
      </c>
      <c r="S182" s="105" t="s">
        <v>1185</v>
      </c>
      <c r="T182" s="105" t="s">
        <v>1186</v>
      </c>
      <c r="U182" s="107" t="s">
        <v>1187</v>
      </c>
      <c r="V182" s="108">
        <v>45668</v>
      </c>
      <c r="W182">
        <v>3800405138</v>
      </c>
      <c r="X182" s="105" t="s">
        <v>1188</v>
      </c>
      <c r="Y182" s="109">
        <v>45861</v>
      </c>
      <c r="AB182" s="116" t="str">
        <f t="shared" si="13"/>
        <v>CÔNG TY CỔ PHẦN PHÁT TRIỂN HẠ TẦNG KỸ THUẬT BECAMEX - BÌNH PHƯỚC</v>
      </c>
      <c r="AC182" s="116" t="str">
        <f t="shared" si="14"/>
        <v>Căn 80 lô AM-16</v>
      </c>
      <c r="AD182" s="120">
        <f t="shared" si="12"/>
        <v>211</v>
      </c>
      <c r="AE182" s="121"/>
      <c r="AF182" s="113" t="s">
        <v>333</v>
      </c>
      <c r="AG182" s="111" t="s">
        <v>65</v>
      </c>
      <c r="AH182" s="111" t="s">
        <v>995</v>
      </c>
      <c r="AI182" s="104">
        <v>181</v>
      </c>
      <c r="AJ182" s="110"/>
    </row>
    <row r="183" spans="1:36" ht="18.75" x14ac:dyDescent="0.25">
      <c r="A183" s="105" t="s">
        <v>1177</v>
      </c>
      <c r="B183" s="112" t="s">
        <v>218</v>
      </c>
      <c r="C183" s="112" t="s">
        <v>218</v>
      </c>
      <c r="D183" s="105" t="s">
        <v>1699</v>
      </c>
      <c r="E183" s="105" t="s">
        <v>65</v>
      </c>
      <c r="F183" s="105" t="s">
        <v>1700</v>
      </c>
      <c r="G183" s="105" t="s">
        <v>1700</v>
      </c>
      <c r="H183" s="105" t="s">
        <v>243</v>
      </c>
      <c r="I183" s="105" t="s">
        <v>1180</v>
      </c>
      <c r="J183" s="106">
        <v>45511</v>
      </c>
      <c r="K183" s="105"/>
      <c r="L183" s="105" t="s">
        <v>1181</v>
      </c>
      <c r="M183" s="105" t="s">
        <v>1182</v>
      </c>
      <c r="N183" s="106">
        <v>27861</v>
      </c>
      <c r="O183" s="119" t="s">
        <v>1150</v>
      </c>
      <c r="P183" s="105" t="s">
        <v>1183</v>
      </c>
      <c r="Q183" s="105" t="s">
        <v>1184</v>
      </c>
      <c r="R183" s="106">
        <v>44375</v>
      </c>
      <c r="S183" s="105" t="s">
        <v>1185</v>
      </c>
      <c r="T183" s="105" t="s">
        <v>1186</v>
      </c>
      <c r="U183" s="107" t="s">
        <v>1187</v>
      </c>
      <c r="V183" s="108">
        <v>45668</v>
      </c>
      <c r="W183">
        <v>3800405138</v>
      </c>
      <c r="X183" s="105" t="s">
        <v>1188</v>
      </c>
      <c r="Y183" s="109">
        <v>45861</v>
      </c>
      <c r="AB183" s="116" t="str">
        <f t="shared" si="13"/>
        <v>CÔNG TY CỔ PHẦN PHÁT TRIỂN HẠ TẦNG KỸ THUẬT BECAMEX - BÌNH PHƯỚC</v>
      </c>
      <c r="AC183" s="116" t="str">
        <f t="shared" si="14"/>
        <v>Căn 10 lô TĐC-44</v>
      </c>
      <c r="AD183" s="120">
        <f t="shared" si="12"/>
        <v>101</v>
      </c>
      <c r="AE183" s="121"/>
      <c r="AF183" s="113" t="s">
        <v>332</v>
      </c>
      <c r="AG183" s="111" t="s">
        <v>65</v>
      </c>
      <c r="AH183" s="111" t="s">
        <v>996</v>
      </c>
      <c r="AI183" s="104">
        <v>182</v>
      </c>
      <c r="AJ183" s="110"/>
    </row>
    <row r="184" spans="1:36" ht="18.75" x14ac:dyDescent="0.25">
      <c r="A184" s="105" t="s">
        <v>1177</v>
      </c>
      <c r="B184" s="112" t="s">
        <v>777</v>
      </c>
      <c r="C184" s="112" t="s">
        <v>777</v>
      </c>
      <c r="D184" s="105" t="s">
        <v>1701</v>
      </c>
      <c r="E184" s="105" t="s">
        <v>1702</v>
      </c>
      <c r="F184" s="105" t="s">
        <v>1703</v>
      </c>
      <c r="G184" s="105" t="s">
        <v>1703</v>
      </c>
      <c r="H184" s="105" t="s">
        <v>1704</v>
      </c>
      <c r="I184" s="105" t="s">
        <v>1705</v>
      </c>
      <c r="J184" s="106">
        <v>45756</v>
      </c>
      <c r="K184" s="105"/>
      <c r="L184" s="105" t="s">
        <v>1181</v>
      </c>
      <c r="M184" s="105" t="s">
        <v>1182</v>
      </c>
      <c r="N184" s="106">
        <v>27861</v>
      </c>
      <c r="O184" s="119" t="s">
        <v>1150</v>
      </c>
      <c r="P184" s="105" t="s">
        <v>1183</v>
      </c>
      <c r="Q184" s="105" t="s">
        <v>1184</v>
      </c>
      <c r="R184" s="106">
        <v>44375</v>
      </c>
      <c r="S184" s="105" t="s">
        <v>1185</v>
      </c>
      <c r="T184" s="105" t="s">
        <v>1186</v>
      </c>
      <c r="U184" s="107" t="s">
        <v>1187</v>
      </c>
      <c r="V184" s="108">
        <v>45668</v>
      </c>
      <c r="W184">
        <v>3800405138</v>
      </c>
      <c r="X184" s="105" t="s">
        <v>1188</v>
      </c>
      <c r="Y184" s="109">
        <v>45861</v>
      </c>
      <c r="AB184" s="116" t="str">
        <f t="shared" si="13"/>
        <v>CÔNG TY CỔ PHẦN PHÁT TRIỂN HẠ TẦNG KỸ THUẬT BECAMEX - BÌNH PHƯỚC</v>
      </c>
      <c r="AC184" s="116" t="str">
        <f t="shared" si="14"/>
        <v>Căn 07 lô TĐC-59</v>
      </c>
      <c r="AD184" s="120">
        <f t="shared" si="12"/>
        <v>214</v>
      </c>
      <c r="AE184" s="121"/>
      <c r="AF184" s="113" t="s">
        <v>331</v>
      </c>
      <c r="AG184" s="111" t="s">
        <v>65</v>
      </c>
      <c r="AH184" s="111" t="s">
        <v>997</v>
      </c>
      <c r="AI184" s="104">
        <v>183</v>
      </c>
      <c r="AJ184" s="110"/>
    </row>
    <row r="185" spans="1:36" ht="18.75" x14ac:dyDescent="0.25">
      <c r="AF185" s="113" t="s">
        <v>330</v>
      </c>
      <c r="AG185" s="111" t="s">
        <v>65</v>
      </c>
      <c r="AH185" s="111" t="s">
        <v>998</v>
      </c>
      <c r="AI185" s="104">
        <v>184</v>
      </c>
      <c r="AJ185" s="110"/>
    </row>
    <row r="186" spans="1:36" ht="18.75" x14ac:dyDescent="0.25">
      <c r="AF186" s="113" t="s">
        <v>329</v>
      </c>
      <c r="AG186" s="111" t="s">
        <v>65</v>
      </c>
      <c r="AH186" s="111" t="s">
        <v>999</v>
      </c>
      <c r="AI186" s="104">
        <v>185</v>
      </c>
      <c r="AJ186" s="110"/>
    </row>
    <row r="187" spans="1:36" ht="18.75" x14ac:dyDescent="0.25">
      <c r="AF187" s="113" t="s">
        <v>328</v>
      </c>
      <c r="AG187" s="111" t="s">
        <v>65</v>
      </c>
      <c r="AH187" s="111" t="s">
        <v>1000</v>
      </c>
      <c r="AI187" s="104">
        <v>186</v>
      </c>
      <c r="AJ187" s="110"/>
    </row>
    <row r="188" spans="1:36" ht="18.75" x14ac:dyDescent="0.25">
      <c r="AF188" s="113" t="s">
        <v>327</v>
      </c>
      <c r="AG188" s="111" t="s">
        <v>65</v>
      </c>
      <c r="AH188" s="111" t="s">
        <v>1001</v>
      </c>
      <c r="AI188" s="104">
        <v>187</v>
      </c>
      <c r="AJ188" s="110"/>
    </row>
    <row r="189" spans="1:36" ht="18.75" x14ac:dyDescent="0.25">
      <c r="AF189" s="113" t="s">
        <v>326</v>
      </c>
      <c r="AG189" s="111" t="s">
        <v>65</v>
      </c>
      <c r="AH189" s="111" t="s">
        <v>1002</v>
      </c>
      <c r="AI189" s="104">
        <v>188</v>
      </c>
      <c r="AJ189" s="110"/>
    </row>
    <row r="190" spans="1:36" ht="18.75" x14ac:dyDescent="0.25">
      <c r="AF190" s="113" t="s">
        <v>325</v>
      </c>
      <c r="AG190" s="111" t="s">
        <v>65</v>
      </c>
      <c r="AH190" s="111" t="s">
        <v>1003</v>
      </c>
      <c r="AI190" s="104">
        <v>189</v>
      </c>
      <c r="AJ190" s="110"/>
    </row>
    <row r="191" spans="1:36" ht="18.75" x14ac:dyDescent="0.25">
      <c r="AF191" s="113" t="s">
        <v>324</v>
      </c>
      <c r="AG191" s="111" t="s">
        <v>65</v>
      </c>
      <c r="AH191" s="111" t="s">
        <v>1004</v>
      </c>
      <c r="AI191" s="104">
        <v>190</v>
      </c>
      <c r="AJ191" s="110"/>
    </row>
    <row r="192" spans="1:36" ht="18.75" x14ac:dyDescent="0.25">
      <c r="AF192" s="113" t="s">
        <v>323</v>
      </c>
      <c r="AG192" s="111" t="s">
        <v>65</v>
      </c>
      <c r="AH192" s="111" t="s">
        <v>1005</v>
      </c>
      <c r="AI192" s="104">
        <v>191</v>
      </c>
      <c r="AJ192" s="110"/>
    </row>
    <row r="193" spans="32:36" ht="18.75" x14ac:dyDescent="0.25">
      <c r="AF193" s="113" t="s">
        <v>322</v>
      </c>
      <c r="AG193" s="111" t="s">
        <v>65</v>
      </c>
      <c r="AH193" s="111" t="s">
        <v>1006</v>
      </c>
      <c r="AI193" s="104">
        <v>192</v>
      </c>
      <c r="AJ193" s="110"/>
    </row>
    <row r="194" spans="32:36" ht="18.75" x14ac:dyDescent="0.25">
      <c r="AF194" s="113" t="s">
        <v>604</v>
      </c>
      <c r="AG194" s="111" t="s">
        <v>65</v>
      </c>
      <c r="AH194" s="111" t="s">
        <v>1007</v>
      </c>
      <c r="AI194" s="104">
        <v>193</v>
      </c>
      <c r="AJ194" s="110"/>
    </row>
    <row r="195" spans="32:36" ht="18.75" x14ac:dyDescent="0.25">
      <c r="AF195" s="113" t="s">
        <v>605</v>
      </c>
      <c r="AG195" s="111" t="s">
        <v>65</v>
      </c>
      <c r="AH195" s="111" t="s">
        <v>1008</v>
      </c>
      <c r="AI195" s="104">
        <v>194</v>
      </c>
      <c r="AJ195" s="110"/>
    </row>
    <row r="196" spans="32:36" ht="18.75" x14ac:dyDescent="0.25">
      <c r="AF196" s="113" t="s">
        <v>606</v>
      </c>
      <c r="AG196" s="111" t="s">
        <v>65</v>
      </c>
      <c r="AH196" s="111" t="s">
        <v>1009</v>
      </c>
      <c r="AI196" s="104">
        <v>195</v>
      </c>
      <c r="AJ196" s="110"/>
    </row>
    <row r="197" spans="32:36" ht="18.75" x14ac:dyDescent="0.25">
      <c r="AF197" s="113" t="s">
        <v>607</v>
      </c>
      <c r="AG197" s="111" t="s">
        <v>65</v>
      </c>
      <c r="AH197" s="111" t="s">
        <v>1010</v>
      </c>
      <c r="AI197" s="104">
        <v>196</v>
      </c>
      <c r="AJ197" s="110"/>
    </row>
    <row r="198" spans="32:36" ht="18.75" x14ac:dyDescent="0.25">
      <c r="AF198" s="113" t="s">
        <v>608</v>
      </c>
      <c r="AG198" s="111" t="s">
        <v>65</v>
      </c>
      <c r="AH198" s="111" t="s">
        <v>1011</v>
      </c>
      <c r="AI198" s="104">
        <v>197</v>
      </c>
      <c r="AJ198" s="110"/>
    </row>
    <row r="199" spans="32:36" ht="18.75" x14ac:dyDescent="0.25">
      <c r="AF199" s="113" t="s">
        <v>609</v>
      </c>
      <c r="AG199" s="111" t="s">
        <v>65</v>
      </c>
      <c r="AH199" s="111" t="s">
        <v>1012</v>
      </c>
      <c r="AI199" s="104">
        <v>198</v>
      </c>
      <c r="AJ199" s="110"/>
    </row>
    <row r="200" spans="32:36" ht="18.75" x14ac:dyDescent="0.25">
      <c r="AF200" s="113" t="s">
        <v>614</v>
      </c>
      <c r="AG200" s="111" t="s">
        <v>65</v>
      </c>
      <c r="AH200" s="111" t="s">
        <v>1013</v>
      </c>
      <c r="AI200" s="104">
        <v>199</v>
      </c>
      <c r="AJ200" s="110"/>
    </row>
    <row r="201" spans="32:36" ht="18.75" x14ac:dyDescent="0.25">
      <c r="AF201" s="113" t="s">
        <v>616</v>
      </c>
      <c r="AG201" s="111" t="s">
        <v>65</v>
      </c>
      <c r="AH201" s="111" t="s">
        <v>1014</v>
      </c>
      <c r="AI201" s="104">
        <v>200</v>
      </c>
      <c r="AJ201" s="110"/>
    </row>
    <row r="202" spans="32:36" ht="18.75" x14ac:dyDescent="0.25">
      <c r="AF202" s="113" t="s">
        <v>618</v>
      </c>
      <c r="AG202" s="111" t="s">
        <v>65</v>
      </c>
      <c r="AH202" s="111" t="s">
        <v>1015</v>
      </c>
      <c r="AI202" s="104">
        <v>201</v>
      </c>
      <c r="AJ202" s="110"/>
    </row>
    <row r="203" spans="32:36" ht="18.75" x14ac:dyDescent="0.25">
      <c r="AF203" s="113" t="s">
        <v>612</v>
      </c>
      <c r="AG203" s="111" t="s">
        <v>65</v>
      </c>
      <c r="AH203" s="111" t="s">
        <v>1016</v>
      </c>
      <c r="AI203" s="104">
        <v>202</v>
      </c>
      <c r="AJ203" s="110"/>
    </row>
    <row r="204" spans="32:36" ht="18.75" x14ac:dyDescent="0.25">
      <c r="AF204" s="113" t="s">
        <v>621</v>
      </c>
      <c r="AG204" s="111" t="s">
        <v>65</v>
      </c>
      <c r="AH204" s="111" t="s">
        <v>1017</v>
      </c>
      <c r="AI204" s="104">
        <v>203</v>
      </c>
      <c r="AJ204" s="110"/>
    </row>
    <row r="205" spans="32:36" ht="18.75" x14ac:dyDescent="0.25">
      <c r="AF205" s="113" t="s">
        <v>310</v>
      </c>
      <c r="AG205" s="111" t="s">
        <v>65</v>
      </c>
      <c r="AH205" s="111" t="s">
        <v>1018</v>
      </c>
      <c r="AI205" s="104">
        <v>204</v>
      </c>
      <c r="AJ205" s="110"/>
    </row>
    <row r="206" spans="32:36" ht="18.75" x14ac:dyDescent="0.25">
      <c r="AF206" s="113" t="s">
        <v>309</v>
      </c>
      <c r="AG206" s="111" t="s">
        <v>65</v>
      </c>
      <c r="AH206" s="111" t="s">
        <v>1019</v>
      </c>
      <c r="AI206" s="104">
        <v>205</v>
      </c>
      <c r="AJ206" s="110"/>
    </row>
    <row r="207" spans="32:36" ht="18.75" x14ac:dyDescent="0.25">
      <c r="AF207" s="113" t="s">
        <v>308</v>
      </c>
      <c r="AG207" s="111" t="s">
        <v>65</v>
      </c>
      <c r="AH207" s="111" t="s">
        <v>1020</v>
      </c>
      <c r="AI207" s="104">
        <v>206</v>
      </c>
      <c r="AJ207" s="110"/>
    </row>
    <row r="208" spans="32:36" ht="18.75" x14ac:dyDescent="0.25">
      <c r="AF208" s="113" t="s">
        <v>179</v>
      </c>
      <c r="AG208" s="111" t="s">
        <v>65</v>
      </c>
      <c r="AH208" s="111" t="s">
        <v>1021</v>
      </c>
      <c r="AI208" s="104">
        <v>207</v>
      </c>
      <c r="AJ208" s="110"/>
    </row>
    <row r="209" spans="32:36" ht="18.75" x14ac:dyDescent="0.25">
      <c r="AF209" s="113" t="s">
        <v>181</v>
      </c>
      <c r="AG209" s="111" t="s">
        <v>65</v>
      </c>
      <c r="AH209" s="111" t="s">
        <v>1022</v>
      </c>
      <c r="AI209" s="104">
        <v>208</v>
      </c>
      <c r="AJ209" s="110"/>
    </row>
    <row r="210" spans="32:36" ht="18.75" x14ac:dyDescent="0.25">
      <c r="AF210" s="113" t="s">
        <v>183</v>
      </c>
      <c r="AG210" s="111" t="s">
        <v>65</v>
      </c>
      <c r="AH210" s="111" t="s">
        <v>1023</v>
      </c>
      <c r="AI210" s="104">
        <v>209</v>
      </c>
      <c r="AJ210" s="110"/>
    </row>
    <row r="211" spans="32:36" ht="18.75" x14ac:dyDescent="0.25">
      <c r="AF211" s="113" t="s">
        <v>180</v>
      </c>
      <c r="AG211" s="111" t="s">
        <v>65</v>
      </c>
      <c r="AH211" s="111" t="s">
        <v>1024</v>
      </c>
      <c r="AI211" s="104">
        <v>210</v>
      </c>
      <c r="AJ211" s="110"/>
    </row>
    <row r="212" spans="32:36" ht="18.75" x14ac:dyDescent="0.25">
      <c r="AF212" s="113" t="s">
        <v>182</v>
      </c>
      <c r="AG212" s="111" t="s">
        <v>65</v>
      </c>
      <c r="AH212" s="111" t="s">
        <v>1025</v>
      </c>
      <c r="AI212" s="104">
        <v>211</v>
      </c>
      <c r="AJ212" s="110"/>
    </row>
    <row r="213" spans="32:36" ht="18.75" x14ac:dyDescent="0.25">
      <c r="AF213" s="113" t="s">
        <v>184</v>
      </c>
      <c r="AG213" s="111" t="s">
        <v>65</v>
      </c>
      <c r="AH213" s="111" t="s">
        <v>1026</v>
      </c>
      <c r="AI213" s="104">
        <v>212</v>
      </c>
      <c r="AJ213" s="110"/>
    </row>
    <row r="214" spans="32:36" ht="18.75" x14ac:dyDescent="0.25">
      <c r="AF214" s="113" t="s">
        <v>185</v>
      </c>
      <c r="AG214" s="111" t="s">
        <v>65</v>
      </c>
      <c r="AH214" s="111" t="s">
        <v>1027</v>
      </c>
      <c r="AI214" s="104">
        <v>213</v>
      </c>
      <c r="AJ214" s="110"/>
    </row>
    <row r="215" spans="32:36" ht="18.75" x14ac:dyDescent="0.25">
      <c r="AF215" s="113" t="s">
        <v>777</v>
      </c>
      <c r="AG215" s="111" t="s">
        <v>65</v>
      </c>
      <c r="AH215" s="111" t="s">
        <v>1028</v>
      </c>
      <c r="AI215" s="104">
        <v>214</v>
      </c>
      <c r="AJ215" s="111"/>
    </row>
    <row r="216" spans="32:36" ht="18.75" x14ac:dyDescent="0.25">
      <c r="AF216" s="122" t="s">
        <v>779</v>
      </c>
      <c r="AG216" s="123" t="s">
        <v>65</v>
      </c>
      <c r="AH216" s="123" t="s">
        <v>1029</v>
      </c>
      <c r="AI216" s="124">
        <v>215</v>
      </c>
      <c r="AJ216" s="125"/>
    </row>
    <row r="217" spans="32:36" ht="18.75" x14ac:dyDescent="0.25">
      <c r="AF217" s="122" t="s">
        <v>780</v>
      </c>
      <c r="AG217" s="123" t="s">
        <v>65</v>
      </c>
      <c r="AH217" s="123" t="s">
        <v>1030</v>
      </c>
      <c r="AI217" s="124">
        <v>216</v>
      </c>
      <c r="AJ217" s="125"/>
    </row>
    <row r="218" spans="32:36" ht="18.75" x14ac:dyDescent="0.25">
      <c r="AF218" s="140" t="s">
        <v>781</v>
      </c>
      <c r="AG218" s="138" t="s">
        <v>65</v>
      </c>
      <c r="AH218" s="138" t="s">
        <v>1031</v>
      </c>
      <c r="AI218" s="124">
        <v>217</v>
      </c>
      <c r="AJ218" s="125" t="s">
        <v>1120</v>
      </c>
    </row>
    <row r="219" spans="32:36" ht="18.75" x14ac:dyDescent="0.25">
      <c r="AF219" s="140" t="s">
        <v>782</v>
      </c>
      <c r="AG219" s="138" t="s">
        <v>65</v>
      </c>
      <c r="AH219" s="138" t="s">
        <v>1032</v>
      </c>
      <c r="AI219" s="124">
        <v>218</v>
      </c>
      <c r="AJ219" s="125" t="s">
        <v>1120</v>
      </c>
    </row>
    <row r="220" spans="32:36" ht="18.75" x14ac:dyDescent="0.25">
      <c r="AF220" s="140" t="s">
        <v>783</v>
      </c>
      <c r="AG220" s="138" t="s">
        <v>65</v>
      </c>
      <c r="AH220" s="138" t="s">
        <v>1033</v>
      </c>
      <c r="AI220" s="124">
        <v>219</v>
      </c>
      <c r="AJ220" s="125" t="s">
        <v>1120</v>
      </c>
    </row>
    <row r="221" spans="32:36" ht="18.75" x14ac:dyDescent="0.25">
      <c r="AF221" s="113" t="s">
        <v>79</v>
      </c>
      <c r="AG221" s="111" t="s">
        <v>68</v>
      </c>
      <c r="AH221" s="111" t="s">
        <v>1151</v>
      </c>
      <c r="AI221" s="104">
        <v>220</v>
      </c>
      <c r="AJ221" s="110"/>
    </row>
    <row r="222" spans="32:36" ht="18.75" x14ac:dyDescent="0.25">
      <c r="AF222" s="140" t="s">
        <v>784</v>
      </c>
      <c r="AG222" s="138" t="s">
        <v>65</v>
      </c>
      <c r="AH222" s="138" t="s">
        <v>1034</v>
      </c>
      <c r="AI222" s="124">
        <v>221</v>
      </c>
      <c r="AJ222" s="131"/>
    </row>
    <row r="223" spans="32:36" ht="18.75" x14ac:dyDescent="0.25">
      <c r="AF223" s="140" t="s">
        <v>785</v>
      </c>
      <c r="AG223" s="138" t="s">
        <v>65</v>
      </c>
      <c r="AH223" s="138" t="s">
        <v>1035</v>
      </c>
      <c r="AI223" s="124">
        <v>222</v>
      </c>
      <c r="AJ223" s="125"/>
    </row>
    <row r="224" spans="32:36" ht="18.75" x14ac:dyDescent="0.25">
      <c r="AF224" s="140" t="s">
        <v>786</v>
      </c>
      <c r="AG224" s="138" t="s">
        <v>65</v>
      </c>
      <c r="AH224" s="138" t="s">
        <v>1036</v>
      </c>
      <c r="AI224" s="124">
        <v>223</v>
      </c>
      <c r="AJ224" s="131"/>
    </row>
    <row r="225" spans="32:36" ht="18.75" x14ac:dyDescent="0.25">
      <c r="AF225" s="140" t="s">
        <v>787</v>
      </c>
      <c r="AG225" s="138" t="s">
        <v>65</v>
      </c>
      <c r="AH225" s="138" t="s">
        <v>1037</v>
      </c>
      <c r="AI225" s="124">
        <v>224</v>
      </c>
      <c r="AJ225" s="125" t="s">
        <v>1120</v>
      </c>
    </row>
    <row r="226" spans="32:36" ht="18.75" x14ac:dyDescent="0.25">
      <c r="AF226" s="140" t="s">
        <v>788</v>
      </c>
      <c r="AG226" s="138" t="s">
        <v>65</v>
      </c>
      <c r="AH226" s="138" t="s">
        <v>1038</v>
      </c>
      <c r="AI226" s="124">
        <v>225</v>
      </c>
      <c r="AJ226" s="125" t="s">
        <v>1120</v>
      </c>
    </row>
    <row r="227" spans="32:36" ht="18.75" x14ac:dyDescent="0.25">
      <c r="AF227" s="140" t="s">
        <v>789</v>
      </c>
      <c r="AG227" s="138" t="s">
        <v>65</v>
      </c>
      <c r="AH227" s="138" t="s">
        <v>1039</v>
      </c>
      <c r="AI227" s="124">
        <v>226</v>
      </c>
      <c r="AJ227" s="131"/>
    </row>
    <row r="228" spans="32:36" ht="18.75" x14ac:dyDescent="0.25">
      <c r="AF228" s="140" t="s">
        <v>790</v>
      </c>
      <c r="AG228" s="138" t="s">
        <v>65</v>
      </c>
      <c r="AH228" s="138" t="s">
        <v>1040</v>
      </c>
      <c r="AI228" s="124">
        <v>227</v>
      </c>
      <c r="AJ228" s="125" t="s">
        <v>1120</v>
      </c>
    </row>
    <row r="229" spans="32:36" ht="18.75" x14ac:dyDescent="0.25">
      <c r="AF229" s="140" t="s">
        <v>791</v>
      </c>
      <c r="AG229" s="138" t="s">
        <v>65</v>
      </c>
      <c r="AH229" s="138" t="s">
        <v>1041</v>
      </c>
      <c r="AI229" s="124">
        <v>228</v>
      </c>
      <c r="AJ229" s="125" t="s">
        <v>1120</v>
      </c>
    </row>
    <row r="230" spans="32:36" ht="18.75" x14ac:dyDescent="0.25">
      <c r="AF230" s="140" t="s">
        <v>792</v>
      </c>
      <c r="AG230" s="138" t="s">
        <v>65</v>
      </c>
      <c r="AH230" s="138" t="s">
        <v>1042</v>
      </c>
      <c r="AI230" s="124">
        <v>229</v>
      </c>
      <c r="AJ230" s="125"/>
    </row>
    <row r="231" spans="32:36" ht="18.75" x14ac:dyDescent="0.25">
      <c r="AF231" s="140" t="s">
        <v>793</v>
      </c>
      <c r="AG231" s="138" t="s">
        <v>65</v>
      </c>
      <c r="AH231" s="138" t="s">
        <v>1043</v>
      </c>
      <c r="AI231" s="124">
        <v>230</v>
      </c>
      <c r="AJ231" s="131"/>
    </row>
    <row r="232" spans="32:36" ht="18.75" x14ac:dyDescent="0.25">
      <c r="AF232" s="140" t="s">
        <v>794</v>
      </c>
      <c r="AG232" s="138" t="s">
        <v>65</v>
      </c>
      <c r="AH232" s="138" t="s">
        <v>1044</v>
      </c>
      <c r="AI232" s="124">
        <v>231</v>
      </c>
      <c r="AJ232" s="131"/>
    </row>
    <row r="233" spans="32:36" ht="18.75" x14ac:dyDescent="0.25">
      <c r="AF233" s="140" t="s">
        <v>795</v>
      </c>
      <c r="AG233" s="138" t="s">
        <v>65</v>
      </c>
      <c r="AH233" s="138" t="s">
        <v>1045</v>
      </c>
      <c r="AI233" s="124">
        <v>232</v>
      </c>
      <c r="AJ233" s="125" t="s">
        <v>1120</v>
      </c>
    </row>
    <row r="234" spans="32:36" ht="18.75" x14ac:dyDescent="0.25">
      <c r="AF234" s="140" t="s">
        <v>796</v>
      </c>
      <c r="AG234" s="138" t="s">
        <v>65</v>
      </c>
      <c r="AH234" s="138" t="s">
        <v>1046</v>
      </c>
      <c r="AI234" s="124">
        <v>233</v>
      </c>
      <c r="AJ234" s="131"/>
    </row>
    <row r="235" spans="32:36" ht="18.75" x14ac:dyDescent="0.25">
      <c r="AF235" s="140" t="s">
        <v>797</v>
      </c>
      <c r="AG235" s="138" t="s">
        <v>65</v>
      </c>
      <c r="AH235" s="138" t="s">
        <v>1047</v>
      </c>
      <c r="AI235" s="124">
        <v>234</v>
      </c>
      <c r="AJ235" s="125" t="s">
        <v>1120</v>
      </c>
    </row>
    <row r="236" spans="32:36" ht="18.75" x14ac:dyDescent="0.25">
      <c r="AF236" s="140" t="s">
        <v>798</v>
      </c>
      <c r="AG236" s="138" t="s">
        <v>65</v>
      </c>
      <c r="AH236" s="138" t="s">
        <v>1048</v>
      </c>
      <c r="AI236" s="124">
        <v>235</v>
      </c>
      <c r="AJ236" s="125" t="s">
        <v>1120</v>
      </c>
    </row>
    <row r="237" spans="32:36" ht="18.75" x14ac:dyDescent="0.25">
      <c r="AF237" s="140" t="s">
        <v>799</v>
      </c>
      <c r="AG237" s="138" t="s">
        <v>65</v>
      </c>
      <c r="AH237" s="138" t="s">
        <v>1049</v>
      </c>
      <c r="AI237" s="124">
        <v>236</v>
      </c>
      <c r="AJ237" s="125" t="s">
        <v>1120</v>
      </c>
    </row>
    <row r="238" spans="32:36" ht="18.75" x14ac:dyDescent="0.25">
      <c r="AF238" s="140" t="s">
        <v>800</v>
      </c>
      <c r="AG238" s="138" t="s">
        <v>65</v>
      </c>
      <c r="AH238" s="138" t="s">
        <v>1050</v>
      </c>
      <c r="AI238" s="124">
        <v>237</v>
      </c>
      <c r="AJ238" s="125"/>
    </row>
    <row r="239" spans="32:36" ht="18.75" x14ac:dyDescent="0.25">
      <c r="AF239" s="140" t="s">
        <v>801</v>
      </c>
      <c r="AG239" s="138" t="s">
        <v>65</v>
      </c>
      <c r="AH239" s="138" t="s">
        <v>1051</v>
      </c>
      <c r="AI239" s="124">
        <v>238</v>
      </c>
      <c r="AJ239" s="125" t="s">
        <v>1120</v>
      </c>
    </row>
    <row r="240" spans="32:36" ht="18.75" x14ac:dyDescent="0.25">
      <c r="AF240" s="140" t="s">
        <v>802</v>
      </c>
      <c r="AG240" s="138" t="s">
        <v>65</v>
      </c>
      <c r="AH240" s="138" t="s">
        <v>1052</v>
      </c>
      <c r="AI240" s="124">
        <v>239</v>
      </c>
      <c r="AJ240" s="125" t="s">
        <v>1120</v>
      </c>
    </row>
    <row r="241" spans="32:36" ht="18.75" x14ac:dyDescent="0.25">
      <c r="AF241" s="140" t="s">
        <v>803</v>
      </c>
      <c r="AG241" s="138" t="s">
        <v>65</v>
      </c>
      <c r="AH241" s="138" t="s">
        <v>1053</v>
      </c>
      <c r="AI241" s="124">
        <v>240</v>
      </c>
      <c r="AJ241" s="131"/>
    </row>
    <row r="242" spans="32:36" ht="18.75" x14ac:dyDescent="0.25">
      <c r="AF242" s="140" t="s">
        <v>804</v>
      </c>
      <c r="AG242" s="138" t="s">
        <v>65</v>
      </c>
      <c r="AH242" s="138" t="s">
        <v>1054</v>
      </c>
      <c r="AI242" s="124">
        <v>241</v>
      </c>
      <c r="AJ242" s="131"/>
    </row>
    <row r="243" spans="32:36" ht="18.75" x14ac:dyDescent="0.25">
      <c r="AF243" s="140" t="s">
        <v>805</v>
      </c>
      <c r="AG243" s="138" t="s">
        <v>65</v>
      </c>
      <c r="AH243" s="138" t="s">
        <v>1055</v>
      </c>
      <c r="AI243" s="124">
        <v>242</v>
      </c>
      <c r="AJ243" s="125" t="s">
        <v>1120</v>
      </c>
    </row>
    <row r="244" spans="32:36" ht="18.75" x14ac:dyDescent="0.25">
      <c r="AF244" s="140" t="s">
        <v>806</v>
      </c>
      <c r="AG244" s="138" t="s">
        <v>65</v>
      </c>
      <c r="AH244" s="138" t="s">
        <v>1056</v>
      </c>
      <c r="AI244" s="124">
        <v>243</v>
      </c>
      <c r="AJ244" s="125"/>
    </row>
    <row r="245" spans="32:36" ht="18.75" x14ac:dyDescent="0.25">
      <c r="AF245" s="140" t="s">
        <v>807</v>
      </c>
      <c r="AG245" s="138" t="s">
        <v>65</v>
      </c>
      <c r="AH245" s="138" t="s">
        <v>1057</v>
      </c>
      <c r="AI245" s="124">
        <v>244</v>
      </c>
      <c r="AJ245" s="131"/>
    </row>
    <row r="246" spans="32:36" ht="18.75" x14ac:dyDescent="0.25">
      <c r="AF246" s="140" t="s">
        <v>808</v>
      </c>
      <c r="AG246" s="138" t="s">
        <v>65</v>
      </c>
      <c r="AH246" s="138" t="s">
        <v>1058</v>
      </c>
      <c r="AI246" s="124">
        <v>245</v>
      </c>
      <c r="AJ246" s="125" t="s">
        <v>1120</v>
      </c>
    </row>
    <row r="247" spans="32:36" ht="18.75" x14ac:dyDescent="0.25">
      <c r="AF247" s="140" t="s">
        <v>809</v>
      </c>
      <c r="AG247" s="138" t="s">
        <v>65</v>
      </c>
      <c r="AH247" s="138" t="s">
        <v>1059</v>
      </c>
      <c r="AI247" s="124">
        <v>246</v>
      </c>
      <c r="AJ247" s="125" t="s">
        <v>1120</v>
      </c>
    </row>
    <row r="248" spans="32:36" ht="18.75" x14ac:dyDescent="0.25">
      <c r="AF248" s="140" t="s">
        <v>810</v>
      </c>
      <c r="AG248" s="138" t="s">
        <v>65</v>
      </c>
      <c r="AH248" s="138" t="s">
        <v>1060</v>
      </c>
      <c r="AI248" s="124">
        <v>247</v>
      </c>
      <c r="AJ248" s="131"/>
    </row>
    <row r="249" spans="32:36" ht="18.75" x14ac:dyDescent="0.25">
      <c r="AF249" s="140" t="s">
        <v>811</v>
      </c>
      <c r="AG249" s="138" t="s">
        <v>65</v>
      </c>
      <c r="AH249" s="138" t="s">
        <v>1061</v>
      </c>
      <c r="AI249" s="124">
        <v>248</v>
      </c>
      <c r="AJ249" s="125" t="s">
        <v>1120</v>
      </c>
    </row>
    <row r="250" spans="32:36" ht="18.75" x14ac:dyDescent="0.25">
      <c r="AF250" s="140" t="s">
        <v>812</v>
      </c>
      <c r="AG250" s="138" t="s">
        <v>65</v>
      </c>
      <c r="AH250" s="138" t="s">
        <v>1062</v>
      </c>
      <c r="AI250" s="124">
        <v>249</v>
      </c>
      <c r="AJ250" s="131"/>
    </row>
    <row r="251" spans="32:36" ht="18.75" x14ac:dyDescent="0.25">
      <c r="AF251" s="140" t="s">
        <v>813</v>
      </c>
      <c r="AG251" s="138" t="s">
        <v>65</v>
      </c>
      <c r="AH251" s="138" t="s">
        <v>1063</v>
      </c>
      <c r="AI251" s="124">
        <v>250</v>
      </c>
      <c r="AJ251" s="125" t="s">
        <v>1120</v>
      </c>
    </row>
    <row r="252" spans="32:36" ht="18.75" x14ac:dyDescent="0.25">
      <c r="AF252" s="140" t="s">
        <v>814</v>
      </c>
      <c r="AG252" s="138" t="s">
        <v>65</v>
      </c>
      <c r="AH252" s="138" t="s">
        <v>1064</v>
      </c>
      <c r="AI252" s="124">
        <v>251</v>
      </c>
      <c r="AJ252" s="125" t="s">
        <v>1120</v>
      </c>
    </row>
    <row r="253" spans="32:36" ht="18.75" x14ac:dyDescent="0.25">
      <c r="AF253" s="140" t="s">
        <v>815</v>
      </c>
      <c r="AG253" s="138" t="s">
        <v>65</v>
      </c>
      <c r="AH253" s="138" t="s">
        <v>1065</v>
      </c>
      <c r="AI253" s="124">
        <v>252</v>
      </c>
      <c r="AJ253" s="125" t="s">
        <v>1120</v>
      </c>
    </row>
    <row r="254" spans="32:36" ht="18.75" x14ac:dyDescent="0.25">
      <c r="AF254" s="140" t="s">
        <v>816</v>
      </c>
      <c r="AG254" s="138" t="s">
        <v>65</v>
      </c>
      <c r="AH254" s="138" t="s">
        <v>1066</v>
      </c>
      <c r="AI254" s="124">
        <v>253</v>
      </c>
      <c r="AJ254" s="125" t="s">
        <v>1120</v>
      </c>
    </row>
    <row r="255" spans="32:36" ht="18.75" x14ac:dyDescent="0.25">
      <c r="AF255" s="122" t="s">
        <v>818</v>
      </c>
      <c r="AG255" s="138" t="s">
        <v>65</v>
      </c>
      <c r="AH255" s="123" t="s">
        <v>1067</v>
      </c>
      <c r="AI255" s="124">
        <v>254</v>
      </c>
      <c r="AJ255" s="131"/>
    </row>
    <row r="256" spans="32:36" ht="18.75" x14ac:dyDescent="0.25">
      <c r="AF256" s="122" t="s">
        <v>819</v>
      </c>
      <c r="AG256" s="138" t="s">
        <v>65</v>
      </c>
      <c r="AH256" s="123" t="s">
        <v>1068</v>
      </c>
      <c r="AI256" s="124">
        <v>255</v>
      </c>
      <c r="AJ256" s="131"/>
    </row>
    <row r="257" spans="32:36" ht="18.75" x14ac:dyDescent="0.25">
      <c r="AF257" s="122" t="s">
        <v>820</v>
      </c>
      <c r="AG257" s="138" t="s">
        <v>65</v>
      </c>
      <c r="AH257" s="123" t="s">
        <v>1069</v>
      </c>
      <c r="AI257" s="124">
        <v>256</v>
      </c>
      <c r="AJ257" s="131"/>
    </row>
    <row r="258" spans="32:36" ht="18.75" x14ac:dyDescent="0.25">
      <c r="AF258" s="122" t="s">
        <v>821</v>
      </c>
      <c r="AG258" s="138" t="s">
        <v>65</v>
      </c>
      <c r="AH258" s="123" t="s">
        <v>1070</v>
      </c>
      <c r="AI258" s="124">
        <v>257</v>
      </c>
      <c r="AJ258" s="131"/>
    </row>
    <row r="259" spans="32:36" ht="18.75" x14ac:dyDescent="0.25">
      <c r="AF259" s="122" t="s">
        <v>822</v>
      </c>
      <c r="AG259" s="138" t="s">
        <v>65</v>
      </c>
      <c r="AH259" s="123" t="s">
        <v>1071</v>
      </c>
      <c r="AI259" s="124">
        <v>258</v>
      </c>
      <c r="AJ259" s="131"/>
    </row>
    <row r="260" spans="32:36" ht="18.75" x14ac:dyDescent="0.25">
      <c r="AF260" s="122" t="s">
        <v>823</v>
      </c>
      <c r="AG260" s="138" t="s">
        <v>65</v>
      </c>
      <c r="AH260" s="123" t="s">
        <v>1072</v>
      </c>
      <c r="AI260" s="124">
        <v>259</v>
      </c>
      <c r="AJ260" s="131"/>
    </row>
    <row r="261" spans="32:36" ht="18.75" x14ac:dyDescent="0.25">
      <c r="AF261" s="122" t="s">
        <v>824</v>
      </c>
      <c r="AG261" s="138" t="s">
        <v>65</v>
      </c>
      <c r="AH261" s="123" t="s">
        <v>1073</v>
      </c>
      <c r="AI261" s="124">
        <v>260</v>
      </c>
      <c r="AJ261" s="131"/>
    </row>
    <row r="262" spans="32:36" ht="18.75" x14ac:dyDescent="0.25">
      <c r="AF262" s="122" t="s">
        <v>825</v>
      </c>
      <c r="AG262" s="138" t="s">
        <v>65</v>
      </c>
      <c r="AH262" s="123" t="s">
        <v>1074</v>
      </c>
      <c r="AI262" s="124">
        <v>261</v>
      </c>
      <c r="AJ262" s="131"/>
    </row>
    <row r="263" spans="32:36" ht="18.75" x14ac:dyDescent="0.25">
      <c r="AF263" s="122" t="s">
        <v>826</v>
      </c>
      <c r="AG263" s="138" t="s">
        <v>65</v>
      </c>
      <c r="AH263" s="123" t="s">
        <v>1075</v>
      </c>
      <c r="AI263" s="124">
        <v>262</v>
      </c>
      <c r="AJ263" s="131"/>
    </row>
    <row r="264" spans="32:36" ht="18.75" x14ac:dyDescent="0.25">
      <c r="AF264" s="122" t="s">
        <v>827</v>
      </c>
      <c r="AG264" s="138" t="s">
        <v>65</v>
      </c>
      <c r="AH264" s="123" t="s">
        <v>1076</v>
      </c>
      <c r="AI264" s="124">
        <v>263</v>
      </c>
      <c r="AJ264" s="131"/>
    </row>
    <row r="265" spans="32:36" ht="18.75" x14ac:dyDescent="0.25">
      <c r="AF265" s="122" t="s">
        <v>828</v>
      </c>
      <c r="AG265" s="138" t="s">
        <v>65</v>
      </c>
      <c r="AH265" s="123" t="s">
        <v>1077</v>
      </c>
      <c r="AI265" s="124">
        <v>264</v>
      </c>
      <c r="AJ265" s="131"/>
    </row>
    <row r="266" spans="32:36" ht="18.75" x14ac:dyDescent="0.25">
      <c r="AF266" s="122" t="s">
        <v>829</v>
      </c>
      <c r="AG266" s="138" t="s">
        <v>65</v>
      </c>
      <c r="AH266" s="123" t="s">
        <v>1078</v>
      </c>
      <c r="AI266" s="124">
        <v>265</v>
      </c>
      <c r="AJ266" s="131"/>
    </row>
    <row r="267" spans="32:36" ht="18.75" x14ac:dyDescent="0.25">
      <c r="AF267" s="122" t="s">
        <v>830</v>
      </c>
      <c r="AG267" s="138" t="s">
        <v>65</v>
      </c>
      <c r="AH267" s="123" t="s">
        <v>1079</v>
      </c>
      <c r="AI267" s="124">
        <v>266</v>
      </c>
      <c r="AJ267" s="131"/>
    </row>
    <row r="268" spans="32:36" ht="18.75" x14ac:dyDescent="0.25">
      <c r="AF268" s="122" t="s">
        <v>831</v>
      </c>
      <c r="AG268" s="138" t="s">
        <v>65</v>
      </c>
      <c r="AH268" s="123" t="s">
        <v>1080</v>
      </c>
      <c r="AI268" s="124">
        <v>267</v>
      </c>
      <c r="AJ268" s="131"/>
    </row>
    <row r="269" spans="32:36" ht="18.75" x14ac:dyDescent="0.25">
      <c r="AF269" s="122" t="s">
        <v>832</v>
      </c>
      <c r="AG269" s="138" t="s">
        <v>65</v>
      </c>
      <c r="AH269" s="123" t="s">
        <v>1081</v>
      </c>
      <c r="AI269" s="124">
        <v>268</v>
      </c>
      <c r="AJ269" s="131"/>
    </row>
    <row r="270" spans="32:36" ht="18.75" x14ac:dyDescent="0.25">
      <c r="AF270" s="122" t="s">
        <v>833</v>
      </c>
      <c r="AG270" s="138" t="s">
        <v>65</v>
      </c>
      <c r="AH270" s="123" t="s">
        <v>1082</v>
      </c>
      <c r="AI270" s="124">
        <v>269</v>
      </c>
      <c r="AJ270" s="131"/>
    </row>
    <row r="271" spans="32:36" ht="18.75" x14ac:dyDescent="0.25">
      <c r="AF271" s="122" t="s">
        <v>834</v>
      </c>
      <c r="AG271" s="138" t="s">
        <v>65</v>
      </c>
      <c r="AH271" s="123" t="s">
        <v>1083</v>
      </c>
      <c r="AI271" s="124">
        <v>270</v>
      </c>
      <c r="AJ271" s="131"/>
    </row>
    <row r="272" spans="32:36" ht="18.75" x14ac:dyDescent="0.25">
      <c r="AF272" s="122" t="s">
        <v>835</v>
      </c>
      <c r="AG272" s="138" t="s">
        <v>65</v>
      </c>
      <c r="AH272" s="123" t="s">
        <v>1084</v>
      </c>
      <c r="AI272" s="124">
        <v>271</v>
      </c>
      <c r="AJ272" s="131"/>
    </row>
    <row r="273" spans="32:36" ht="18.75" x14ac:dyDescent="0.25">
      <c r="AF273" s="122" t="s">
        <v>836</v>
      </c>
      <c r="AG273" s="138" t="s">
        <v>65</v>
      </c>
      <c r="AH273" s="123" t="s">
        <v>1085</v>
      </c>
      <c r="AI273" s="124">
        <v>272</v>
      </c>
      <c r="AJ273" s="131"/>
    </row>
    <row r="274" spans="32:36" ht="18.75" x14ac:dyDescent="0.25">
      <c r="AF274" s="122" t="s">
        <v>837</v>
      </c>
      <c r="AG274" s="138" t="s">
        <v>65</v>
      </c>
      <c r="AH274" s="123" t="s">
        <v>1086</v>
      </c>
      <c r="AI274" s="124">
        <v>273</v>
      </c>
      <c r="AJ274" s="131"/>
    </row>
    <row r="275" spans="32:36" ht="18.75" x14ac:dyDescent="0.25">
      <c r="AF275" s="122" t="s">
        <v>838</v>
      </c>
      <c r="AG275" s="138" t="s">
        <v>65</v>
      </c>
      <c r="AH275" s="123" t="s">
        <v>1087</v>
      </c>
      <c r="AI275" s="124">
        <v>274</v>
      </c>
      <c r="AJ275" s="131"/>
    </row>
    <row r="276" spans="32:36" ht="18.75" x14ac:dyDescent="0.25">
      <c r="AF276" s="122" t="s">
        <v>839</v>
      </c>
      <c r="AG276" s="138" t="s">
        <v>65</v>
      </c>
      <c r="AH276" s="123" t="s">
        <v>1088</v>
      </c>
      <c r="AI276" s="124">
        <v>275</v>
      </c>
      <c r="AJ276" s="131"/>
    </row>
    <row r="277" spans="32:36" ht="18.75" x14ac:dyDescent="0.25">
      <c r="AF277" s="122" t="s">
        <v>840</v>
      </c>
      <c r="AG277" s="138" t="s">
        <v>65</v>
      </c>
      <c r="AH277" s="123" t="s">
        <v>1089</v>
      </c>
      <c r="AI277" s="124">
        <v>276</v>
      </c>
      <c r="AJ277" s="131"/>
    </row>
    <row r="278" spans="32:36" ht="18.75" x14ac:dyDescent="0.25">
      <c r="AF278" s="122" t="s">
        <v>841</v>
      </c>
      <c r="AG278" s="138" t="s">
        <v>65</v>
      </c>
      <c r="AH278" s="123" t="s">
        <v>1090</v>
      </c>
      <c r="AI278" s="124">
        <v>277</v>
      </c>
      <c r="AJ278" s="131"/>
    </row>
    <row r="279" spans="32:36" ht="18.75" x14ac:dyDescent="0.25">
      <c r="AF279" s="122" t="s">
        <v>842</v>
      </c>
      <c r="AG279" s="138" t="s">
        <v>65</v>
      </c>
      <c r="AH279" s="123" t="s">
        <v>1091</v>
      </c>
      <c r="AI279" s="124">
        <v>278</v>
      </c>
      <c r="AJ279" s="131"/>
    </row>
    <row r="280" spans="32:36" ht="18.75" x14ac:dyDescent="0.25">
      <c r="AF280" s="122" t="s">
        <v>843</v>
      </c>
      <c r="AG280" s="138" t="s">
        <v>65</v>
      </c>
      <c r="AH280" s="123" t="s">
        <v>1092</v>
      </c>
      <c r="AI280" s="124">
        <v>279</v>
      </c>
      <c r="AJ280" s="131"/>
    </row>
    <row r="281" spans="32:36" ht="18.75" x14ac:dyDescent="0.25">
      <c r="AF281" s="122" t="s">
        <v>844</v>
      </c>
      <c r="AG281" s="138" t="s">
        <v>65</v>
      </c>
      <c r="AH281" s="123" t="s">
        <v>1093</v>
      </c>
      <c r="AI281" s="124">
        <v>280</v>
      </c>
      <c r="AJ281" s="131"/>
    </row>
    <row r="282" spans="32:36" ht="18.75" x14ac:dyDescent="0.25">
      <c r="AF282" s="122" t="s">
        <v>845</v>
      </c>
      <c r="AG282" s="138" t="s">
        <v>65</v>
      </c>
      <c r="AH282" s="123" t="s">
        <v>1094</v>
      </c>
      <c r="AI282" s="124">
        <v>281</v>
      </c>
      <c r="AJ282" s="131"/>
    </row>
    <row r="283" spans="32:36" ht="18.75" x14ac:dyDescent="0.25">
      <c r="AF283" s="122" t="s">
        <v>846</v>
      </c>
      <c r="AG283" s="138" t="s">
        <v>65</v>
      </c>
      <c r="AH283" s="123" t="s">
        <v>1095</v>
      </c>
      <c r="AI283" s="124">
        <v>282</v>
      </c>
      <c r="AJ283" s="131"/>
    </row>
    <row r="284" spans="32:36" ht="18.75" x14ac:dyDescent="0.25">
      <c r="AF284" s="122" t="s">
        <v>847</v>
      </c>
      <c r="AG284" s="138" t="s">
        <v>65</v>
      </c>
      <c r="AH284" s="123" t="s">
        <v>1096</v>
      </c>
      <c r="AI284" s="124">
        <v>283</v>
      </c>
      <c r="AJ284" s="131"/>
    </row>
    <row r="285" spans="32:36" ht="18.75" x14ac:dyDescent="0.25">
      <c r="AF285" s="122" t="s">
        <v>848</v>
      </c>
      <c r="AG285" s="138" t="s">
        <v>65</v>
      </c>
      <c r="AH285" s="123" t="s">
        <v>1097</v>
      </c>
      <c r="AI285" s="124">
        <v>284</v>
      </c>
      <c r="AJ285" s="131"/>
    </row>
    <row r="286" spans="32:36" ht="18.75" x14ac:dyDescent="0.25">
      <c r="AF286" s="122" t="s">
        <v>849</v>
      </c>
      <c r="AG286" s="138" t="s">
        <v>65</v>
      </c>
      <c r="AH286" s="123" t="s">
        <v>1098</v>
      </c>
      <c r="AI286" s="124">
        <v>285</v>
      </c>
      <c r="AJ286" s="131"/>
    </row>
    <row r="287" spans="32:36" ht="18.75" x14ac:dyDescent="0.25">
      <c r="AF287" s="122" t="s">
        <v>850</v>
      </c>
      <c r="AG287" s="138" t="s">
        <v>65</v>
      </c>
      <c r="AH287" s="123" t="s">
        <v>1099</v>
      </c>
      <c r="AI287" s="124">
        <v>286</v>
      </c>
      <c r="AJ287" s="131"/>
    </row>
    <row r="288" spans="32:36" ht="18.75" x14ac:dyDescent="0.25">
      <c r="AF288" s="122" t="s">
        <v>851</v>
      </c>
      <c r="AG288" s="138" t="s">
        <v>65</v>
      </c>
      <c r="AH288" s="123" t="s">
        <v>1100</v>
      </c>
      <c r="AI288" s="124">
        <v>287</v>
      </c>
      <c r="AJ288" s="131"/>
    </row>
    <row r="289" spans="32:36" ht="18.75" x14ac:dyDescent="0.25">
      <c r="AF289" s="122" t="s">
        <v>852</v>
      </c>
      <c r="AG289" s="138" t="s">
        <v>65</v>
      </c>
      <c r="AH289" s="123" t="s">
        <v>1101</v>
      </c>
      <c r="AI289" s="124">
        <v>288</v>
      </c>
      <c r="AJ289" s="131"/>
    </row>
    <row r="290" spans="32:36" ht="18.75" x14ac:dyDescent="0.25">
      <c r="AF290" s="122" t="s">
        <v>853</v>
      </c>
      <c r="AG290" s="138" t="s">
        <v>65</v>
      </c>
      <c r="AH290" s="123" t="s">
        <v>1102</v>
      </c>
      <c r="AI290" s="124">
        <v>289</v>
      </c>
      <c r="AJ290" s="131"/>
    </row>
    <row r="291" spans="32:36" ht="18.75" x14ac:dyDescent="0.25">
      <c r="AF291" s="122" t="s">
        <v>854</v>
      </c>
      <c r="AG291" s="138" t="s">
        <v>65</v>
      </c>
      <c r="AH291" s="123" t="s">
        <v>1103</v>
      </c>
      <c r="AI291" s="124">
        <v>290</v>
      </c>
      <c r="AJ291" s="131"/>
    </row>
    <row r="292" spans="32:36" ht="18.75" x14ac:dyDescent="0.25">
      <c r="AF292" s="122" t="s">
        <v>855</v>
      </c>
      <c r="AG292" s="138" t="s">
        <v>65</v>
      </c>
      <c r="AH292" s="123" t="s">
        <v>1104</v>
      </c>
      <c r="AI292" s="124">
        <v>291</v>
      </c>
      <c r="AJ292" s="131"/>
    </row>
    <row r="293" spans="32:36" ht="18.75" x14ac:dyDescent="0.25">
      <c r="AF293" s="122" t="s">
        <v>856</v>
      </c>
      <c r="AG293" s="138" t="s">
        <v>65</v>
      </c>
      <c r="AH293" s="123" t="s">
        <v>1105</v>
      </c>
      <c r="AI293" s="124">
        <v>292</v>
      </c>
      <c r="AJ293" s="131"/>
    </row>
    <row r="294" spans="32:36" ht="18.75" x14ac:dyDescent="0.25">
      <c r="AF294" s="122" t="s">
        <v>857</v>
      </c>
      <c r="AG294" s="138" t="s">
        <v>65</v>
      </c>
      <c r="AH294" s="123" t="s">
        <v>1115</v>
      </c>
      <c r="AI294" s="124">
        <v>293</v>
      </c>
      <c r="AJ294" s="131"/>
    </row>
    <row r="295" spans="32:36" ht="18.75" x14ac:dyDescent="0.25">
      <c r="AF295" s="122" t="s">
        <v>858</v>
      </c>
      <c r="AG295" s="138" t="s">
        <v>65</v>
      </c>
      <c r="AH295" s="123" t="s">
        <v>1106</v>
      </c>
      <c r="AI295" s="124">
        <v>294</v>
      </c>
      <c r="AJ295" s="131"/>
    </row>
    <row r="296" spans="32:36" ht="18.75" x14ac:dyDescent="0.25">
      <c r="AF296" s="122" t="s">
        <v>859</v>
      </c>
      <c r="AG296" s="138" t="s">
        <v>65</v>
      </c>
      <c r="AH296" s="123" t="s">
        <v>1107</v>
      </c>
      <c r="AI296" s="124">
        <v>295</v>
      </c>
      <c r="AJ296" s="131"/>
    </row>
    <row r="297" spans="32:36" ht="18.75" x14ac:dyDescent="0.25">
      <c r="AF297" s="122" t="s">
        <v>860</v>
      </c>
      <c r="AG297" s="138" t="s">
        <v>65</v>
      </c>
      <c r="AH297" s="123" t="s">
        <v>1108</v>
      </c>
      <c r="AI297" s="124">
        <v>296</v>
      </c>
      <c r="AJ297" s="125"/>
    </row>
    <row r="298" spans="32:36" ht="18.75" x14ac:dyDescent="0.25">
      <c r="AF298" s="122" t="s">
        <v>861</v>
      </c>
      <c r="AG298" s="138" t="s">
        <v>65</v>
      </c>
      <c r="AH298" s="123" t="s">
        <v>1109</v>
      </c>
      <c r="AI298" s="124">
        <v>297</v>
      </c>
      <c r="AJ298" s="125"/>
    </row>
    <row r="299" spans="32:36" ht="18.75" x14ac:dyDescent="0.25">
      <c r="AF299" s="122" t="s">
        <v>862</v>
      </c>
      <c r="AG299" s="138" t="s">
        <v>65</v>
      </c>
      <c r="AH299" s="123" t="s">
        <v>1110</v>
      </c>
      <c r="AI299" s="124">
        <v>298</v>
      </c>
      <c r="AJ299" s="131"/>
    </row>
    <row r="300" spans="32:36" ht="18.75" x14ac:dyDescent="0.25">
      <c r="AF300" s="122" t="s">
        <v>863</v>
      </c>
      <c r="AG300" s="138" t="s">
        <v>65</v>
      </c>
      <c r="AH300" s="123" t="s">
        <v>1111</v>
      </c>
      <c r="AI300" s="124">
        <v>299</v>
      </c>
      <c r="AJ300" s="131"/>
    </row>
    <row r="301" spans="32:36" ht="18.75" x14ac:dyDescent="0.25">
      <c r="AF301" s="122" t="s">
        <v>864</v>
      </c>
      <c r="AG301" s="138" t="s">
        <v>65</v>
      </c>
      <c r="AH301" s="123" t="s">
        <v>1112</v>
      </c>
      <c r="AI301" s="124">
        <v>300</v>
      </c>
      <c r="AJ301" s="131"/>
    </row>
    <row r="302" spans="32:36" ht="18.75" x14ac:dyDescent="0.25">
      <c r="AF302" s="122" t="s">
        <v>865</v>
      </c>
      <c r="AG302" s="138" t="s">
        <v>65</v>
      </c>
      <c r="AH302" s="123" t="s">
        <v>1113</v>
      </c>
      <c r="AI302" s="124">
        <v>301</v>
      </c>
      <c r="AJ302" s="131"/>
    </row>
    <row r="303" spans="32:36" ht="18.75" x14ac:dyDescent="0.25">
      <c r="AF303" s="122" t="s">
        <v>866</v>
      </c>
      <c r="AG303" s="138" t="s">
        <v>65</v>
      </c>
      <c r="AH303" s="123" t="s">
        <v>1114</v>
      </c>
      <c r="AI303" s="124">
        <v>302</v>
      </c>
      <c r="AJ303" s="131"/>
    </row>
    <row r="304" spans="32:36" x14ac:dyDescent="0.25">
      <c r="AH304" s="139"/>
      <c r="AI304" s="139"/>
    </row>
    <row r="305" spans="34:35" x14ac:dyDescent="0.25">
      <c r="AH305" s="139"/>
      <c r="AI305" s="139"/>
    </row>
    <row r="306" spans="34:35" x14ac:dyDescent="0.25">
      <c r="AH306" s="139"/>
      <c r="AI306" s="139"/>
    </row>
    <row r="307" spans="34:35" x14ac:dyDescent="0.25">
      <c r="AH307" s="139"/>
      <c r="AI307" s="139"/>
    </row>
    <row r="308" spans="34:35" x14ac:dyDescent="0.25">
      <c r="AH308" s="139"/>
      <c r="AI308" s="139"/>
    </row>
    <row r="309" spans="34:35" x14ac:dyDescent="0.25">
      <c r="AH309" s="139"/>
      <c r="AI309" s="139"/>
    </row>
    <row r="310" spans="34:35" x14ac:dyDescent="0.25">
      <c r="AH310" s="139"/>
      <c r="AI310" s="139"/>
    </row>
    <row r="311" spans="34:35" x14ac:dyDescent="0.25">
      <c r="AH311" s="139"/>
      <c r="AI311" s="139"/>
    </row>
    <row r="312" spans="34:35" x14ac:dyDescent="0.25">
      <c r="AH312" s="139"/>
      <c r="AI312" s="139"/>
    </row>
    <row r="313" spans="34:35" x14ac:dyDescent="0.25">
      <c r="AH313" s="139"/>
      <c r="AI313" s="139"/>
    </row>
    <row r="314" spans="34:35" x14ac:dyDescent="0.25">
      <c r="AH314" s="139"/>
      <c r="AI314" s="139"/>
    </row>
    <row r="315" spans="34:35" x14ac:dyDescent="0.25">
      <c r="AH315" s="139"/>
      <c r="AI315" s="139"/>
    </row>
    <row r="316" spans="34:35" x14ac:dyDescent="0.25">
      <c r="AH316" s="139"/>
      <c r="AI316" s="139"/>
    </row>
    <row r="317" spans="34:35" x14ac:dyDescent="0.25">
      <c r="AH317" s="139"/>
      <c r="AI317" s="139"/>
    </row>
    <row r="318" spans="34:35" x14ac:dyDescent="0.25">
      <c r="AH318" s="139"/>
      <c r="AI318" s="139"/>
    </row>
    <row r="319" spans="34:35" x14ac:dyDescent="0.25">
      <c r="AH319" s="139"/>
      <c r="AI319" s="139"/>
    </row>
    <row r="320" spans="34:35" x14ac:dyDescent="0.25">
      <c r="AH320" s="139"/>
      <c r="AI320" s="139"/>
    </row>
    <row r="321" spans="34:35" x14ac:dyDescent="0.25">
      <c r="AH321" s="139"/>
      <c r="AI321" s="139"/>
    </row>
    <row r="322" spans="34:35" x14ac:dyDescent="0.25">
      <c r="AH322" s="139"/>
      <c r="AI322" s="139"/>
    </row>
    <row r="323" spans="34:35" x14ac:dyDescent="0.25">
      <c r="AH323" s="139"/>
      <c r="AI323" s="139"/>
    </row>
    <row r="324" spans="34:35" x14ac:dyDescent="0.25">
      <c r="AH324" s="139"/>
      <c r="AI324" s="139"/>
    </row>
    <row r="325" spans="34:35" x14ac:dyDescent="0.25">
      <c r="AH325" s="139"/>
      <c r="AI325" s="139"/>
    </row>
    <row r="326" spans="34:35" x14ac:dyDescent="0.25">
      <c r="AH326" s="139"/>
      <c r="AI326" s="139"/>
    </row>
    <row r="327" spans="34:35" x14ac:dyDescent="0.25">
      <c r="AH327" s="139"/>
      <c r="AI327" s="139"/>
    </row>
    <row r="328" spans="34:35" x14ac:dyDescent="0.25">
      <c r="AH328" s="139"/>
      <c r="AI328" s="139"/>
    </row>
    <row r="329" spans="34:35" x14ac:dyDescent="0.25">
      <c r="AH329" s="139"/>
      <c r="AI329" s="139"/>
    </row>
    <row r="330" spans="34:35" x14ac:dyDescent="0.25">
      <c r="AH330" s="139"/>
      <c r="AI330" s="139"/>
    </row>
    <row r="331" spans="34:35" x14ac:dyDescent="0.25">
      <c r="AH331" s="139"/>
      <c r="AI331" s="139"/>
    </row>
    <row r="332" spans="34:35" x14ac:dyDescent="0.25">
      <c r="AH332" s="139"/>
      <c r="AI332" s="139"/>
    </row>
    <row r="333" spans="34:35" x14ac:dyDescent="0.25">
      <c r="AH333" s="139"/>
      <c r="AI333" s="139"/>
    </row>
    <row r="334" spans="34:35" x14ac:dyDescent="0.25">
      <c r="AH334" s="139"/>
      <c r="AI334" s="139"/>
    </row>
    <row r="335" spans="34:35" x14ac:dyDescent="0.25">
      <c r="AH335" s="139"/>
      <c r="AI335" s="139"/>
    </row>
    <row r="336" spans="34:35" x14ac:dyDescent="0.25">
      <c r="AH336" s="139"/>
      <c r="AI336" s="139"/>
    </row>
    <row r="337" spans="34:35" x14ac:dyDescent="0.25">
      <c r="AH337" s="139"/>
      <c r="AI337" s="139"/>
    </row>
    <row r="338" spans="34:35" x14ac:dyDescent="0.25">
      <c r="AH338" s="139"/>
      <c r="AI338" s="139"/>
    </row>
    <row r="339" spans="34:35" x14ac:dyDescent="0.25">
      <c r="AH339" s="139"/>
      <c r="AI339" s="139"/>
    </row>
    <row r="340" spans="34:35" x14ac:dyDescent="0.25">
      <c r="AH340" s="139"/>
      <c r="AI340" s="139"/>
    </row>
    <row r="341" spans="34:35" x14ac:dyDescent="0.25">
      <c r="AH341" s="139"/>
      <c r="AI341" s="139"/>
    </row>
    <row r="342" spans="34:35" x14ac:dyDescent="0.25">
      <c r="AH342" s="139"/>
      <c r="AI342" s="139"/>
    </row>
    <row r="343" spans="34:35" x14ac:dyDescent="0.25">
      <c r="AH343" s="139"/>
      <c r="AI343" s="139"/>
    </row>
    <row r="344" spans="34:35" x14ac:dyDescent="0.25">
      <c r="AH344" s="139"/>
      <c r="AI344" s="139"/>
    </row>
    <row r="345" spans="34:35" x14ac:dyDescent="0.25">
      <c r="AH345" s="139"/>
      <c r="AI345" s="139"/>
    </row>
    <row r="346" spans="34:35" x14ac:dyDescent="0.25">
      <c r="AH346" s="139"/>
      <c r="AI346" s="139"/>
    </row>
    <row r="347" spans="34:35" x14ac:dyDescent="0.25">
      <c r="AH347" s="139"/>
      <c r="AI347" s="139"/>
    </row>
    <row r="348" spans="34:35" x14ac:dyDescent="0.25">
      <c r="AH348" s="139"/>
      <c r="AI348" s="139"/>
    </row>
    <row r="349" spans="34:35" x14ac:dyDescent="0.25">
      <c r="AH349" s="139"/>
      <c r="AI349" s="139"/>
    </row>
    <row r="350" spans="34:35" x14ac:dyDescent="0.25">
      <c r="AH350" s="139"/>
      <c r="AI350" s="139"/>
    </row>
    <row r="351" spans="34:35" x14ac:dyDescent="0.25">
      <c r="AH351" s="139"/>
      <c r="AI351" s="139"/>
    </row>
    <row r="352" spans="34:35" x14ac:dyDescent="0.25">
      <c r="AH352" s="139"/>
      <c r="AI352" s="139"/>
    </row>
    <row r="353" spans="34:35" x14ac:dyDescent="0.25">
      <c r="AH353" s="139"/>
      <c r="AI353" s="139"/>
    </row>
    <row r="354" spans="34:35" x14ac:dyDescent="0.25">
      <c r="AH354" s="139"/>
      <c r="AI354" s="139"/>
    </row>
    <row r="355" spans="34:35" x14ac:dyDescent="0.25">
      <c r="AH355" s="139"/>
      <c r="AI355" s="139"/>
    </row>
    <row r="356" spans="34:35" x14ac:dyDescent="0.25">
      <c r="AH356" s="139"/>
      <c r="AI356" s="139"/>
    </row>
    <row r="357" spans="34:35" x14ac:dyDescent="0.25">
      <c r="AH357" s="139"/>
      <c r="AI357" s="139"/>
    </row>
    <row r="358" spans="34:35" x14ac:dyDescent="0.25">
      <c r="AH358" s="139"/>
      <c r="AI358" s="139"/>
    </row>
    <row r="359" spans="34:35" x14ac:dyDescent="0.25">
      <c r="AH359" s="139"/>
      <c r="AI359" s="139"/>
    </row>
    <row r="360" spans="34:35" x14ac:dyDescent="0.25">
      <c r="AH360" s="139"/>
      <c r="AI360" s="139"/>
    </row>
    <row r="361" spans="34:35" x14ac:dyDescent="0.25">
      <c r="AH361" s="139"/>
      <c r="AI361" s="139"/>
    </row>
    <row r="362" spans="34:35" x14ac:dyDescent="0.25">
      <c r="AH362" s="139"/>
      <c r="AI362" s="139"/>
    </row>
    <row r="363" spans="34:35" x14ac:dyDescent="0.25">
      <c r="AH363" s="139"/>
      <c r="AI363" s="139"/>
    </row>
    <row r="364" spans="34:35" x14ac:dyDescent="0.25">
      <c r="AH364" s="139"/>
      <c r="AI364" s="139"/>
    </row>
    <row r="365" spans="34:35" x14ac:dyDescent="0.25">
      <c r="AH365" s="139"/>
      <c r="AI365" s="139"/>
    </row>
    <row r="366" spans="34:35" x14ac:dyDescent="0.25">
      <c r="AH366" s="139"/>
      <c r="AI366" s="139"/>
    </row>
    <row r="367" spans="34:35" x14ac:dyDescent="0.25">
      <c r="AH367" s="139"/>
      <c r="AI367" s="139"/>
    </row>
    <row r="368" spans="34:35" x14ac:dyDescent="0.25">
      <c r="AH368" s="139"/>
      <c r="AI368" s="139"/>
    </row>
    <row r="369" spans="34:35" x14ac:dyDescent="0.25">
      <c r="AH369" s="139"/>
      <c r="AI369" s="139"/>
    </row>
    <row r="370" spans="34:35" x14ac:dyDescent="0.25">
      <c r="AH370" s="139"/>
      <c r="AI370" s="139"/>
    </row>
    <row r="371" spans="34:35" x14ac:dyDescent="0.25">
      <c r="AH371" s="139"/>
      <c r="AI371" s="139"/>
    </row>
    <row r="372" spans="34:35" x14ac:dyDescent="0.25">
      <c r="AH372" s="139"/>
      <c r="AI372" s="139"/>
    </row>
    <row r="373" spans="34:35" x14ac:dyDescent="0.25">
      <c r="AH373" s="139"/>
      <c r="AI373" s="139"/>
    </row>
    <row r="374" spans="34:35" x14ac:dyDescent="0.25">
      <c r="AH374" s="139"/>
      <c r="AI374" s="139"/>
    </row>
    <row r="375" spans="34:35" x14ac:dyDescent="0.25">
      <c r="AH375" s="139"/>
      <c r="AI375" s="139"/>
    </row>
    <row r="376" spans="34:35" x14ac:dyDescent="0.25">
      <c r="AH376" s="139"/>
      <c r="AI376" s="139"/>
    </row>
    <row r="377" spans="34:35" x14ac:dyDescent="0.25">
      <c r="AH377" s="139"/>
      <c r="AI377" s="139"/>
    </row>
    <row r="378" spans="34:35" x14ac:dyDescent="0.25">
      <c r="AH378" s="139"/>
      <c r="AI378" s="139"/>
    </row>
    <row r="379" spans="34:35" x14ac:dyDescent="0.25">
      <c r="AH379" s="139"/>
      <c r="AI379" s="139"/>
    </row>
    <row r="380" spans="34:35" x14ac:dyDescent="0.25">
      <c r="AH380" s="139"/>
      <c r="AI380" s="139"/>
    </row>
    <row r="381" spans="34:35" x14ac:dyDescent="0.25">
      <c r="AH381" s="139"/>
      <c r="AI381" s="139"/>
    </row>
    <row r="382" spans="34:35" x14ac:dyDescent="0.25">
      <c r="AH382" s="139"/>
      <c r="AI382" s="139"/>
    </row>
    <row r="383" spans="34:35" x14ac:dyDescent="0.25">
      <c r="AH383" s="139"/>
      <c r="AI383" s="139"/>
    </row>
    <row r="384" spans="34:35" x14ac:dyDescent="0.25">
      <c r="AH384" s="139"/>
      <c r="AI384" s="139"/>
    </row>
    <row r="385" spans="34:35" x14ac:dyDescent="0.25">
      <c r="AH385" s="139"/>
      <c r="AI385" s="139"/>
    </row>
    <row r="386" spans="34:35" x14ac:dyDescent="0.25">
      <c r="AH386" s="139"/>
      <c r="AI386" s="139"/>
    </row>
    <row r="387" spans="34:35" x14ac:dyDescent="0.25">
      <c r="AH387" s="139"/>
      <c r="AI387" s="139"/>
    </row>
    <row r="388" spans="34:35" x14ac:dyDescent="0.25">
      <c r="AH388" s="139"/>
      <c r="AI388" s="139"/>
    </row>
    <row r="389" spans="34:35" x14ac:dyDescent="0.25">
      <c r="AH389" s="139"/>
      <c r="AI389" s="139"/>
    </row>
    <row r="390" spans="34:35" x14ac:dyDescent="0.25">
      <c r="AH390" s="139"/>
      <c r="AI390" s="139"/>
    </row>
    <row r="391" spans="34:35" x14ac:dyDescent="0.25">
      <c r="AH391" s="139"/>
      <c r="AI391" s="139"/>
    </row>
    <row r="392" spans="34:35" x14ac:dyDescent="0.25">
      <c r="AH392" s="139"/>
      <c r="AI392" s="139"/>
    </row>
    <row r="393" spans="34:35" x14ac:dyDescent="0.25">
      <c r="AH393" s="139"/>
      <c r="AI393" s="139"/>
    </row>
    <row r="394" spans="34:35" x14ac:dyDescent="0.25">
      <c r="AH394" s="139"/>
      <c r="AI394" s="139"/>
    </row>
    <row r="395" spans="34:35" x14ac:dyDescent="0.25">
      <c r="AH395" s="139"/>
      <c r="AI395" s="139"/>
    </row>
    <row r="396" spans="34:35" x14ac:dyDescent="0.25">
      <c r="AH396" s="139"/>
      <c r="AI396" s="139"/>
    </row>
    <row r="397" spans="34:35" x14ac:dyDescent="0.25">
      <c r="AH397" s="139"/>
      <c r="AI397" s="139"/>
    </row>
    <row r="398" spans="34:35" x14ac:dyDescent="0.25">
      <c r="AH398" s="139"/>
      <c r="AI398" s="139"/>
    </row>
    <row r="399" spans="34:35" x14ac:dyDescent="0.25">
      <c r="AH399" s="139"/>
      <c r="AI399" s="139"/>
    </row>
    <row r="400" spans="34:35" x14ac:dyDescent="0.25">
      <c r="AH400" s="139"/>
      <c r="AI400" s="139"/>
    </row>
    <row r="401" spans="34:35" x14ac:dyDescent="0.25">
      <c r="AH401" s="139"/>
      <c r="AI401" s="139"/>
    </row>
    <row r="402" spans="34:35" x14ac:dyDescent="0.25">
      <c r="AH402" s="139"/>
      <c r="AI402" s="139"/>
    </row>
    <row r="403" spans="34:35" x14ac:dyDescent="0.25">
      <c r="AH403" s="139"/>
      <c r="AI403" s="139"/>
    </row>
    <row r="404" spans="34:35" x14ac:dyDescent="0.25">
      <c r="AH404" s="139"/>
      <c r="AI404" s="139"/>
    </row>
    <row r="405" spans="34:35" x14ac:dyDescent="0.25">
      <c r="AH405" s="139"/>
      <c r="AI405" s="139"/>
    </row>
    <row r="406" spans="34:35" x14ac:dyDescent="0.25">
      <c r="AH406" s="139"/>
      <c r="AI406" s="139"/>
    </row>
    <row r="407" spans="34:35" x14ac:dyDescent="0.25">
      <c r="AH407" s="139"/>
      <c r="AI407" s="139"/>
    </row>
    <row r="408" spans="34:35" x14ac:dyDescent="0.25">
      <c r="AH408" s="139"/>
      <c r="AI408" s="139"/>
    </row>
    <row r="409" spans="34:35" x14ac:dyDescent="0.25">
      <c r="AH409" s="139"/>
      <c r="AI409" s="139"/>
    </row>
    <row r="410" spans="34:35" x14ac:dyDescent="0.25">
      <c r="AH410" s="139"/>
      <c r="AI410" s="139"/>
    </row>
    <row r="411" spans="34:35" x14ac:dyDescent="0.25">
      <c r="AH411" s="139"/>
      <c r="AI411" s="139"/>
    </row>
    <row r="412" spans="34:35" x14ac:dyDescent="0.25">
      <c r="AH412" s="139"/>
      <c r="AI412" s="139"/>
    </row>
    <row r="413" spans="34:35" x14ac:dyDescent="0.25">
      <c r="AH413" s="139"/>
      <c r="AI413" s="139"/>
    </row>
    <row r="414" spans="34:35" x14ac:dyDescent="0.25">
      <c r="AH414" s="139"/>
      <c r="AI414" s="139"/>
    </row>
    <row r="415" spans="34:35" x14ac:dyDescent="0.25">
      <c r="AH415" s="139"/>
      <c r="AI415" s="139"/>
    </row>
    <row r="416" spans="34:35" x14ac:dyDescent="0.25">
      <c r="AH416" s="139"/>
      <c r="AI416" s="139"/>
    </row>
    <row r="417" spans="34:35" x14ac:dyDescent="0.25">
      <c r="AH417" s="139"/>
      <c r="AI417" s="139"/>
    </row>
    <row r="418" spans="34:35" x14ac:dyDescent="0.25">
      <c r="AH418" s="139"/>
      <c r="AI418" s="139"/>
    </row>
    <row r="419" spans="34:35" x14ac:dyDescent="0.25">
      <c r="AH419" s="139"/>
      <c r="AI419" s="139"/>
    </row>
    <row r="420" spans="34:35" x14ac:dyDescent="0.25">
      <c r="AH420" s="139"/>
      <c r="AI420" s="139"/>
    </row>
    <row r="421" spans="34:35" x14ac:dyDescent="0.25">
      <c r="AH421" s="139"/>
      <c r="AI421" s="139"/>
    </row>
    <row r="422" spans="34:35" x14ac:dyDescent="0.25">
      <c r="AH422" s="139"/>
      <c r="AI422" s="139"/>
    </row>
    <row r="423" spans="34:35" x14ac:dyDescent="0.25">
      <c r="AH423" s="139"/>
      <c r="AI423" s="139"/>
    </row>
    <row r="424" spans="34:35" x14ac:dyDescent="0.25">
      <c r="AH424" s="139"/>
      <c r="AI424" s="139"/>
    </row>
    <row r="425" spans="34:35" x14ac:dyDescent="0.25">
      <c r="AH425" s="139"/>
      <c r="AI425" s="139"/>
    </row>
    <row r="426" spans="34:35" x14ac:dyDescent="0.25">
      <c r="AH426" s="139"/>
      <c r="AI426" s="139"/>
    </row>
    <row r="427" spans="34:35" x14ac:dyDescent="0.25">
      <c r="AH427" s="139"/>
      <c r="AI427" s="139"/>
    </row>
    <row r="428" spans="34:35" x14ac:dyDescent="0.25">
      <c r="AH428" s="139"/>
      <c r="AI428" s="139"/>
    </row>
    <row r="429" spans="34:35" x14ac:dyDescent="0.25">
      <c r="AH429" s="139"/>
      <c r="AI429" s="139"/>
    </row>
    <row r="430" spans="34:35" x14ac:dyDescent="0.25">
      <c r="AH430" s="139"/>
      <c r="AI430" s="139"/>
    </row>
    <row r="431" spans="34:35" x14ac:dyDescent="0.25">
      <c r="AH431" s="139"/>
      <c r="AI431" s="139"/>
    </row>
    <row r="432" spans="34:35" x14ac:dyDescent="0.25">
      <c r="AH432" s="139"/>
      <c r="AI432" s="139"/>
    </row>
    <row r="433" spans="34:35" x14ac:dyDescent="0.25">
      <c r="AH433" s="139"/>
      <c r="AI433" s="139"/>
    </row>
    <row r="434" spans="34:35" x14ac:dyDescent="0.25">
      <c r="AH434" s="139"/>
      <c r="AI434" s="139"/>
    </row>
    <row r="435" spans="34:35" x14ac:dyDescent="0.25">
      <c r="AH435" s="139"/>
      <c r="AI435" s="139"/>
    </row>
    <row r="436" spans="34:35" x14ac:dyDescent="0.25">
      <c r="AH436" s="139"/>
      <c r="AI436" s="139"/>
    </row>
    <row r="437" spans="34:35" x14ac:dyDescent="0.25">
      <c r="AH437" s="139"/>
      <c r="AI437" s="139"/>
    </row>
    <row r="438" spans="34:35" x14ac:dyDescent="0.25">
      <c r="AH438" s="139"/>
      <c r="AI438" s="139"/>
    </row>
    <row r="439" spans="34:35" x14ac:dyDescent="0.25">
      <c r="AH439" s="139"/>
      <c r="AI439" s="139"/>
    </row>
    <row r="440" spans="34:35" x14ac:dyDescent="0.25">
      <c r="AH440" s="139"/>
      <c r="AI440" s="139"/>
    </row>
    <row r="441" spans="34:35" x14ac:dyDescent="0.25">
      <c r="AH441" s="139"/>
      <c r="AI441" s="139"/>
    </row>
    <row r="442" spans="34:35" x14ac:dyDescent="0.25">
      <c r="AH442" s="139"/>
      <c r="AI442" s="139"/>
    </row>
    <row r="443" spans="34:35" x14ac:dyDescent="0.25">
      <c r="AH443" s="139"/>
      <c r="AI443" s="139"/>
    </row>
    <row r="444" spans="34:35" x14ac:dyDescent="0.25">
      <c r="AH444" s="139"/>
      <c r="AI444" s="139"/>
    </row>
    <row r="445" spans="34:35" x14ac:dyDescent="0.25">
      <c r="AH445" s="139"/>
      <c r="AI445" s="139"/>
    </row>
    <row r="446" spans="34:35" x14ac:dyDescent="0.25">
      <c r="AH446" s="139"/>
      <c r="AI446" s="139"/>
    </row>
    <row r="447" spans="34:35" x14ac:dyDescent="0.25">
      <c r="AH447" s="139"/>
      <c r="AI447" s="139"/>
    </row>
    <row r="448" spans="34:35" x14ac:dyDescent="0.25">
      <c r="AH448" s="139"/>
      <c r="AI448" s="139"/>
    </row>
    <row r="449" spans="34:35" x14ac:dyDescent="0.25">
      <c r="AH449" s="139"/>
      <c r="AI449" s="139"/>
    </row>
    <row r="450" spans="34:35" x14ac:dyDescent="0.25">
      <c r="AH450" s="139"/>
      <c r="AI450" s="139"/>
    </row>
    <row r="451" spans="34:35" x14ac:dyDescent="0.25">
      <c r="AH451" s="139"/>
      <c r="AI451" s="139"/>
    </row>
    <row r="452" spans="34:35" x14ac:dyDescent="0.25">
      <c r="AH452" s="139"/>
      <c r="AI452" s="139"/>
    </row>
    <row r="453" spans="34:35" x14ac:dyDescent="0.25">
      <c r="AH453" s="139"/>
      <c r="AI453" s="139"/>
    </row>
    <row r="454" spans="34:35" x14ac:dyDescent="0.25">
      <c r="AH454" s="139"/>
      <c r="AI454" s="139"/>
    </row>
    <row r="455" spans="34:35" x14ac:dyDescent="0.25">
      <c r="AH455" s="139"/>
      <c r="AI455" s="139"/>
    </row>
    <row r="456" spans="34:35" x14ac:dyDescent="0.25">
      <c r="AH456" s="139"/>
      <c r="AI456" s="139"/>
    </row>
    <row r="457" spans="34:35" x14ac:dyDescent="0.25">
      <c r="AH457" s="139"/>
      <c r="AI457" s="139"/>
    </row>
    <row r="458" spans="34:35" x14ac:dyDescent="0.25">
      <c r="AH458" s="139"/>
      <c r="AI458" s="139"/>
    </row>
    <row r="459" spans="34:35" x14ac:dyDescent="0.25">
      <c r="AH459" s="139"/>
      <c r="AI459" s="139"/>
    </row>
    <row r="460" spans="34:35" x14ac:dyDescent="0.25">
      <c r="AH460" s="139"/>
      <c r="AI460" s="139"/>
    </row>
    <row r="461" spans="34:35" x14ac:dyDescent="0.25">
      <c r="AH461" s="139"/>
      <c r="AI461" s="139"/>
    </row>
    <row r="462" spans="34:35" x14ac:dyDescent="0.25">
      <c r="AH462" s="139"/>
      <c r="AI462" s="139"/>
    </row>
    <row r="463" spans="34:35" x14ac:dyDescent="0.25">
      <c r="AH463" s="139"/>
      <c r="AI463" s="139"/>
    </row>
    <row r="464" spans="34:35" x14ac:dyDescent="0.25">
      <c r="AH464" s="139"/>
      <c r="AI464" s="139"/>
    </row>
    <row r="465" spans="34:35" x14ac:dyDescent="0.25">
      <c r="AH465" s="139"/>
      <c r="AI465" s="139"/>
    </row>
    <row r="466" spans="34:35" x14ac:dyDescent="0.25">
      <c r="AH466" s="139"/>
      <c r="AI466" s="139"/>
    </row>
    <row r="467" spans="34:35" x14ac:dyDescent="0.25">
      <c r="AH467" s="139"/>
      <c r="AI467" s="139"/>
    </row>
    <row r="468" spans="34:35" x14ac:dyDescent="0.25">
      <c r="AH468" s="139"/>
      <c r="AI468" s="139"/>
    </row>
    <row r="469" spans="34:35" x14ac:dyDescent="0.25">
      <c r="AH469" s="139"/>
      <c r="AI469" s="139"/>
    </row>
    <row r="470" spans="34:35" x14ac:dyDescent="0.25">
      <c r="AH470" s="139"/>
      <c r="AI470" s="139"/>
    </row>
    <row r="471" spans="34:35" x14ac:dyDescent="0.25">
      <c r="AH471" s="139"/>
      <c r="AI471" s="139"/>
    </row>
    <row r="472" spans="34:35" x14ac:dyDescent="0.25">
      <c r="AH472" s="139"/>
      <c r="AI472" s="139"/>
    </row>
    <row r="473" spans="34:35" x14ac:dyDescent="0.25">
      <c r="AH473" s="139"/>
      <c r="AI473" s="139"/>
    </row>
    <row r="474" spans="34:35" x14ac:dyDescent="0.25">
      <c r="AH474" s="139"/>
      <c r="AI474" s="139"/>
    </row>
    <row r="475" spans="34:35" x14ac:dyDescent="0.25">
      <c r="AH475" s="139"/>
      <c r="AI475" s="139"/>
    </row>
    <row r="476" spans="34:35" x14ac:dyDescent="0.25">
      <c r="AH476" s="139"/>
      <c r="AI476" s="139"/>
    </row>
    <row r="477" spans="34:35" x14ac:dyDescent="0.25">
      <c r="AH477" s="139"/>
      <c r="AI477" s="139"/>
    </row>
    <row r="478" spans="34:35" x14ac:dyDescent="0.25">
      <c r="AH478" s="139"/>
      <c r="AI478" s="139"/>
    </row>
    <row r="479" spans="34:35" x14ac:dyDescent="0.25">
      <c r="AH479" s="139"/>
      <c r="AI479" s="139"/>
    </row>
    <row r="480" spans="34:35" x14ac:dyDescent="0.25">
      <c r="AH480" s="139"/>
      <c r="AI480" s="139"/>
    </row>
    <row r="481" spans="34:35" x14ac:dyDescent="0.25">
      <c r="AH481" s="139"/>
      <c r="AI481" s="139"/>
    </row>
    <row r="482" spans="34:35" x14ac:dyDescent="0.25">
      <c r="AH482" s="139"/>
      <c r="AI482" s="139"/>
    </row>
    <row r="483" spans="34:35" x14ac:dyDescent="0.25">
      <c r="AH483" s="139"/>
      <c r="AI483" s="139"/>
    </row>
    <row r="484" spans="34:35" x14ac:dyDescent="0.25">
      <c r="AH484" s="139"/>
      <c r="AI484" s="139"/>
    </row>
    <row r="485" spans="34:35" x14ac:dyDescent="0.25">
      <c r="AH485" s="139"/>
      <c r="AI485" s="139"/>
    </row>
    <row r="486" spans="34:35" x14ac:dyDescent="0.25">
      <c r="AH486" s="139"/>
      <c r="AI486" s="139"/>
    </row>
    <row r="487" spans="34:35" x14ac:dyDescent="0.25">
      <c r="AH487" s="139"/>
      <c r="AI487" s="139"/>
    </row>
    <row r="488" spans="34:35" x14ac:dyDescent="0.25">
      <c r="AH488" s="139"/>
      <c r="AI488" s="139"/>
    </row>
    <row r="489" spans="34:35" x14ac:dyDescent="0.25">
      <c r="AH489" s="139"/>
      <c r="AI489" s="139"/>
    </row>
    <row r="490" spans="34:35" x14ac:dyDescent="0.25">
      <c r="AH490" s="139"/>
      <c r="AI490" s="139"/>
    </row>
    <row r="491" spans="34:35" x14ac:dyDescent="0.25">
      <c r="AH491" s="139"/>
      <c r="AI491" s="139"/>
    </row>
    <row r="492" spans="34:35" x14ac:dyDescent="0.25">
      <c r="AH492" s="139"/>
      <c r="AI492" s="139"/>
    </row>
    <row r="493" spans="34:35" x14ac:dyDescent="0.25">
      <c r="AH493" s="139"/>
      <c r="AI493" s="139"/>
    </row>
    <row r="494" spans="34:35" x14ac:dyDescent="0.25">
      <c r="AH494" s="139"/>
      <c r="AI494" s="139"/>
    </row>
    <row r="495" spans="34:35" x14ac:dyDescent="0.25">
      <c r="AH495" s="139"/>
      <c r="AI495" s="139"/>
    </row>
    <row r="496" spans="34:35" x14ac:dyDescent="0.25">
      <c r="AH496" s="139"/>
      <c r="AI496" s="139"/>
    </row>
    <row r="497" spans="34:35" x14ac:dyDescent="0.25">
      <c r="AH497" s="139"/>
      <c r="AI497" s="139"/>
    </row>
    <row r="498" spans="34:35" x14ac:dyDescent="0.25">
      <c r="AH498" s="139"/>
      <c r="AI498" s="139"/>
    </row>
    <row r="499" spans="34:35" x14ac:dyDescent="0.25">
      <c r="AH499" s="139"/>
      <c r="AI499" s="139"/>
    </row>
    <row r="500" spans="34:35" x14ac:dyDescent="0.25">
      <c r="AH500" s="139"/>
      <c r="AI500" s="139"/>
    </row>
    <row r="501" spans="34:35" x14ac:dyDescent="0.25">
      <c r="AH501" s="139"/>
      <c r="AI501" s="139"/>
    </row>
    <row r="502" spans="34:35" x14ac:dyDescent="0.25">
      <c r="AH502" s="139"/>
      <c r="AI502" s="139"/>
    </row>
    <row r="503" spans="34:35" x14ac:dyDescent="0.25">
      <c r="AH503" s="139"/>
      <c r="AI503" s="139"/>
    </row>
    <row r="504" spans="34:35" x14ac:dyDescent="0.25">
      <c r="AH504" s="139"/>
      <c r="AI504" s="139"/>
    </row>
    <row r="505" spans="34:35" x14ac:dyDescent="0.25">
      <c r="AH505" s="139"/>
      <c r="AI505" s="139"/>
    </row>
    <row r="506" spans="34:35" x14ac:dyDescent="0.25">
      <c r="AH506" s="139"/>
      <c r="AI506" s="139"/>
    </row>
    <row r="507" spans="34:35" x14ac:dyDescent="0.25">
      <c r="AH507" s="139"/>
      <c r="AI507" s="139"/>
    </row>
    <row r="508" spans="34:35" x14ac:dyDescent="0.25">
      <c r="AH508" s="139"/>
      <c r="AI508" s="139"/>
    </row>
    <row r="509" spans="34:35" x14ac:dyDescent="0.25">
      <c r="AH509" s="139"/>
      <c r="AI509" s="139"/>
    </row>
    <row r="510" spans="34:35" x14ac:dyDescent="0.25">
      <c r="AH510" s="139"/>
      <c r="AI510" s="139"/>
    </row>
    <row r="511" spans="34:35" x14ac:dyDescent="0.25">
      <c r="AH511" s="139"/>
      <c r="AI511" s="139"/>
    </row>
    <row r="512" spans="34:35" x14ac:dyDescent="0.25">
      <c r="AH512" s="139"/>
      <c r="AI512" s="139"/>
    </row>
    <row r="513" spans="34:35" x14ac:dyDescent="0.25">
      <c r="AH513" s="139"/>
      <c r="AI513" s="139"/>
    </row>
    <row r="514" spans="34:35" x14ac:dyDescent="0.25">
      <c r="AH514" s="139"/>
      <c r="AI514" s="139"/>
    </row>
    <row r="515" spans="34:35" x14ac:dyDescent="0.25">
      <c r="AH515" s="139"/>
      <c r="AI515" s="139"/>
    </row>
    <row r="516" spans="34:35" x14ac:dyDescent="0.25">
      <c r="AH516" s="139"/>
      <c r="AI516" s="139"/>
    </row>
    <row r="517" spans="34:35" x14ac:dyDescent="0.25">
      <c r="AH517" s="139"/>
      <c r="AI517" s="139"/>
    </row>
    <row r="518" spans="34:35" x14ac:dyDescent="0.25">
      <c r="AH518" s="139"/>
      <c r="AI518" s="139"/>
    </row>
    <row r="519" spans="34:35" x14ac:dyDescent="0.25">
      <c r="AH519" s="139"/>
      <c r="AI519" s="139"/>
    </row>
    <row r="520" spans="34:35" x14ac:dyDescent="0.25">
      <c r="AH520" s="139"/>
      <c r="AI520" s="139"/>
    </row>
    <row r="521" spans="34:35" x14ac:dyDescent="0.25">
      <c r="AH521" s="139"/>
      <c r="AI521" s="139"/>
    </row>
    <row r="522" spans="34:35" x14ac:dyDescent="0.25">
      <c r="AH522" s="139"/>
      <c r="AI522" s="139"/>
    </row>
    <row r="523" spans="34:35" x14ac:dyDescent="0.25">
      <c r="AH523" s="139"/>
      <c r="AI523" s="139"/>
    </row>
    <row r="524" spans="34:35" x14ac:dyDescent="0.25">
      <c r="AH524" s="139"/>
      <c r="AI524" s="139"/>
    </row>
    <row r="525" spans="34:35" x14ac:dyDescent="0.25">
      <c r="AH525" s="139"/>
      <c r="AI525" s="139"/>
    </row>
    <row r="526" spans="34:35" x14ac:dyDescent="0.25">
      <c r="AH526" s="139"/>
      <c r="AI526" s="139"/>
    </row>
    <row r="527" spans="34:35" x14ac:dyDescent="0.25">
      <c r="AH527" s="139"/>
      <c r="AI527" s="139"/>
    </row>
    <row r="528" spans="34:35" x14ac:dyDescent="0.25">
      <c r="AH528" s="139"/>
      <c r="AI528" s="139"/>
    </row>
    <row r="529" spans="34:35" x14ac:dyDescent="0.25">
      <c r="AH529" s="139"/>
      <c r="AI529" s="139"/>
    </row>
    <row r="530" spans="34:35" x14ac:dyDescent="0.25">
      <c r="AH530" s="139"/>
      <c r="AI530" s="139"/>
    </row>
    <row r="531" spans="34:35" x14ac:dyDescent="0.25">
      <c r="AH531" s="139"/>
      <c r="AI531" s="139"/>
    </row>
    <row r="532" spans="34:35" x14ac:dyDescent="0.25">
      <c r="AH532" s="139"/>
      <c r="AI532" s="139"/>
    </row>
    <row r="533" spans="34:35" x14ac:dyDescent="0.25">
      <c r="AH533" s="139"/>
      <c r="AI533" s="139"/>
    </row>
    <row r="534" spans="34:35" x14ac:dyDescent="0.25">
      <c r="AH534" s="139"/>
      <c r="AI534" s="139"/>
    </row>
    <row r="535" spans="34:35" x14ac:dyDescent="0.25">
      <c r="AH535" s="139"/>
      <c r="AI535" s="139"/>
    </row>
    <row r="536" spans="34:35" x14ac:dyDescent="0.25">
      <c r="AH536" s="139"/>
      <c r="AI536" s="139"/>
    </row>
    <row r="537" spans="34:35" x14ac:dyDescent="0.25">
      <c r="AH537" s="139"/>
      <c r="AI537" s="139"/>
    </row>
    <row r="538" spans="34:35" x14ac:dyDescent="0.25">
      <c r="AH538" s="139"/>
      <c r="AI538" s="139"/>
    </row>
    <row r="539" spans="34:35" x14ac:dyDescent="0.25">
      <c r="AH539" s="139"/>
      <c r="AI539" s="139"/>
    </row>
    <row r="540" spans="34:35" x14ac:dyDescent="0.25">
      <c r="AH540" s="139"/>
      <c r="AI540" s="139"/>
    </row>
    <row r="541" spans="34:35" x14ac:dyDescent="0.25">
      <c r="AH541" s="139"/>
      <c r="AI541" s="139"/>
    </row>
    <row r="542" spans="34:35" x14ac:dyDescent="0.25">
      <c r="AH542" s="139"/>
      <c r="AI542" s="139"/>
    </row>
    <row r="543" spans="34:35" x14ac:dyDescent="0.25">
      <c r="AH543" s="139"/>
      <c r="AI543" s="139"/>
    </row>
    <row r="544" spans="34:35" x14ac:dyDescent="0.25">
      <c r="AH544" s="139"/>
      <c r="AI544" s="139"/>
    </row>
    <row r="545" spans="34:35" x14ac:dyDescent="0.25">
      <c r="AH545" s="139"/>
      <c r="AI545" s="139"/>
    </row>
    <row r="546" spans="34:35" x14ac:dyDescent="0.25">
      <c r="AH546" s="139"/>
      <c r="AI546" s="139"/>
    </row>
    <row r="547" spans="34:35" x14ac:dyDescent="0.25">
      <c r="AH547" s="139"/>
      <c r="AI547" s="139"/>
    </row>
    <row r="548" spans="34:35" x14ac:dyDescent="0.25">
      <c r="AH548" s="139"/>
      <c r="AI548" s="139"/>
    </row>
    <row r="549" spans="34:35" x14ac:dyDescent="0.25">
      <c r="AH549" s="139"/>
      <c r="AI549" s="139"/>
    </row>
    <row r="550" spans="34:35" x14ac:dyDescent="0.25">
      <c r="AH550" s="139"/>
      <c r="AI550" s="139"/>
    </row>
    <row r="551" spans="34:35" x14ac:dyDescent="0.25">
      <c r="AH551" s="139"/>
      <c r="AI551" s="139"/>
    </row>
    <row r="552" spans="34:35" x14ac:dyDescent="0.25">
      <c r="AH552" s="139"/>
      <c r="AI552" s="139"/>
    </row>
    <row r="553" spans="34:35" x14ac:dyDescent="0.25">
      <c r="AH553" s="139"/>
      <c r="AI553" s="139"/>
    </row>
    <row r="554" spans="34:35" x14ac:dyDescent="0.25">
      <c r="AH554" s="139"/>
      <c r="AI554" s="139"/>
    </row>
    <row r="555" spans="34:35" x14ac:dyDescent="0.25">
      <c r="AH555" s="139"/>
      <c r="AI555" s="139"/>
    </row>
    <row r="556" spans="34:35" x14ac:dyDescent="0.25">
      <c r="AH556" s="139"/>
      <c r="AI556" s="139"/>
    </row>
    <row r="557" spans="34:35" x14ac:dyDescent="0.25">
      <c r="AH557" s="139"/>
      <c r="AI557" s="139"/>
    </row>
    <row r="558" spans="34:35" x14ac:dyDescent="0.25">
      <c r="AH558" s="139"/>
      <c r="AI558" s="139"/>
    </row>
    <row r="559" spans="34:35" x14ac:dyDescent="0.25">
      <c r="AH559" s="139"/>
      <c r="AI559" s="139"/>
    </row>
    <row r="560" spans="34:35" x14ac:dyDescent="0.25">
      <c r="AH560" s="139"/>
      <c r="AI560" s="139"/>
    </row>
    <row r="561" spans="34:35" x14ac:dyDescent="0.25">
      <c r="AH561" s="139"/>
      <c r="AI561" s="139"/>
    </row>
    <row r="562" spans="34:35" x14ac:dyDescent="0.25">
      <c r="AH562" s="139"/>
      <c r="AI562" s="139"/>
    </row>
    <row r="563" spans="34:35" x14ac:dyDescent="0.25">
      <c r="AH563" s="139"/>
      <c r="AI563" s="139"/>
    </row>
    <row r="564" spans="34:35" x14ac:dyDescent="0.25">
      <c r="AH564" s="139"/>
      <c r="AI564" s="139"/>
    </row>
    <row r="565" spans="34:35" x14ac:dyDescent="0.25">
      <c r="AH565" s="139"/>
      <c r="AI565" s="139"/>
    </row>
    <row r="566" spans="34:35" x14ac:dyDescent="0.25">
      <c r="AH566" s="139"/>
      <c r="AI566" s="139"/>
    </row>
    <row r="567" spans="34:35" x14ac:dyDescent="0.25">
      <c r="AH567" s="139"/>
      <c r="AI567" s="139"/>
    </row>
    <row r="568" spans="34:35" x14ac:dyDescent="0.25">
      <c r="AH568" s="139"/>
      <c r="AI568" s="139"/>
    </row>
    <row r="569" spans="34:35" x14ac:dyDescent="0.25">
      <c r="AH569" s="139"/>
      <c r="AI569" s="139"/>
    </row>
    <row r="570" spans="34:35" x14ac:dyDescent="0.25">
      <c r="AH570" s="139"/>
      <c r="AI570" s="139"/>
    </row>
    <row r="571" spans="34:35" x14ac:dyDescent="0.25">
      <c r="AH571" s="139"/>
      <c r="AI571" s="139"/>
    </row>
    <row r="572" spans="34:35" x14ac:dyDescent="0.25">
      <c r="AH572" s="139"/>
      <c r="AI572" s="139"/>
    </row>
    <row r="573" spans="34:35" x14ac:dyDescent="0.25">
      <c r="AH573" s="139"/>
      <c r="AI573" s="139"/>
    </row>
    <row r="574" spans="34:35" x14ac:dyDescent="0.25">
      <c r="AH574" s="139"/>
      <c r="AI574" s="139"/>
    </row>
    <row r="575" spans="34:35" x14ac:dyDescent="0.25">
      <c r="AH575" s="139"/>
      <c r="AI575" s="139"/>
    </row>
    <row r="576" spans="34:35" x14ac:dyDescent="0.25">
      <c r="AH576" s="139"/>
      <c r="AI576" s="139"/>
    </row>
    <row r="577" spans="34:35" x14ac:dyDescent="0.25">
      <c r="AH577" s="139"/>
      <c r="AI577" s="139"/>
    </row>
    <row r="578" spans="34:35" x14ac:dyDescent="0.25">
      <c r="AH578" s="139"/>
      <c r="AI578" s="139"/>
    </row>
    <row r="579" spans="34:35" x14ac:dyDescent="0.25">
      <c r="AH579" s="139"/>
      <c r="AI579" s="139"/>
    </row>
    <row r="580" spans="34:35" x14ac:dyDescent="0.25">
      <c r="AH580" s="139"/>
      <c r="AI580" s="139"/>
    </row>
    <row r="581" spans="34:35" x14ac:dyDescent="0.25">
      <c r="AH581" s="139"/>
      <c r="AI581" s="139"/>
    </row>
    <row r="582" spans="34:35" x14ac:dyDescent="0.25">
      <c r="AH582" s="139"/>
      <c r="AI582" s="139"/>
    </row>
    <row r="583" spans="34:35" x14ac:dyDescent="0.25">
      <c r="AH583" s="139"/>
      <c r="AI583" s="139"/>
    </row>
    <row r="584" spans="34:35" x14ac:dyDescent="0.25">
      <c r="AH584" s="139"/>
      <c r="AI584" s="139"/>
    </row>
    <row r="585" spans="34:35" x14ac:dyDescent="0.25">
      <c r="AH585" s="139"/>
      <c r="AI585" s="139"/>
    </row>
    <row r="586" spans="34:35" x14ac:dyDescent="0.25">
      <c r="AH586" s="139"/>
      <c r="AI586" s="139"/>
    </row>
    <row r="587" spans="34:35" x14ac:dyDescent="0.25">
      <c r="AH587" s="139"/>
      <c r="AI587" s="139"/>
    </row>
    <row r="588" spans="34:35" x14ac:dyDescent="0.25">
      <c r="AH588" s="139"/>
      <c r="AI588" s="139"/>
    </row>
    <row r="589" spans="34:35" x14ac:dyDescent="0.25">
      <c r="AH589" s="139"/>
      <c r="AI589" s="139"/>
    </row>
    <row r="590" spans="34:35" x14ac:dyDescent="0.25">
      <c r="AH590" s="139"/>
      <c r="AI590" s="139"/>
    </row>
    <row r="591" spans="34:35" x14ac:dyDescent="0.25">
      <c r="AH591" s="139"/>
      <c r="AI591" s="139"/>
    </row>
    <row r="592" spans="34:35" x14ac:dyDescent="0.25">
      <c r="AH592" s="139"/>
      <c r="AI592" s="139"/>
    </row>
    <row r="593" spans="34:35" x14ac:dyDescent="0.25">
      <c r="AH593" s="139"/>
      <c r="AI593" s="139"/>
    </row>
    <row r="594" spans="34:35" x14ac:dyDescent="0.25">
      <c r="AH594" s="139"/>
      <c r="AI594" s="139"/>
    </row>
    <row r="595" spans="34:35" x14ac:dyDescent="0.25">
      <c r="AH595" s="139"/>
      <c r="AI595" s="139"/>
    </row>
    <row r="596" spans="34:35" x14ac:dyDescent="0.25">
      <c r="AH596" s="139"/>
      <c r="AI596" s="139"/>
    </row>
    <row r="597" spans="34:35" x14ac:dyDescent="0.25">
      <c r="AH597" s="139"/>
      <c r="AI597" s="139"/>
    </row>
    <row r="598" spans="34:35" x14ac:dyDescent="0.25">
      <c r="AH598" s="139"/>
      <c r="AI598" s="139"/>
    </row>
    <row r="599" spans="34:35" x14ac:dyDescent="0.25">
      <c r="AH599" s="139"/>
      <c r="AI599" s="139"/>
    </row>
    <row r="600" spans="34:35" x14ac:dyDescent="0.25">
      <c r="AH600" s="139"/>
      <c r="AI600" s="139"/>
    </row>
    <row r="601" spans="34:35" x14ac:dyDescent="0.25">
      <c r="AH601" s="139"/>
      <c r="AI601" s="139"/>
    </row>
    <row r="602" spans="34:35" x14ac:dyDescent="0.25">
      <c r="AH602" s="139"/>
      <c r="AI602" s="139"/>
    </row>
    <row r="603" spans="34:35" x14ac:dyDescent="0.25">
      <c r="AH603" s="139"/>
      <c r="AI603" s="139"/>
    </row>
    <row r="604" spans="34:35" x14ac:dyDescent="0.25">
      <c r="AH604" s="139"/>
      <c r="AI604" s="139"/>
    </row>
    <row r="605" spans="34:35" x14ac:dyDescent="0.25">
      <c r="AH605" s="139"/>
      <c r="AI605" s="139"/>
    </row>
    <row r="606" spans="34:35" x14ac:dyDescent="0.25">
      <c r="AH606" s="139"/>
      <c r="AI606" s="139"/>
    </row>
    <row r="607" spans="34:35" x14ac:dyDescent="0.25">
      <c r="AH607" s="139"/>
      <c r="AI607" s="139"/>
    </row>
    <row r="608" spans="34:35" x14ac:dyDescent="0.25">
      <c r="AH608" s="139"/>
      <c r="AI608" s="139"/>
    </row>
    <row r="609" spans="34:35" x14ac:dyDescent="0.25">
      <c r="AH609" s="139"/>
      <c r="AI609" s="139"/>
    </row>
    <row r="610" spans="34:35" x14ac:dyDescent="0.25">
      <c r="AH610" s="139"/>
      <c r="AI610" s="139"/>
    </row>
    <row r="611" spans="34:35" x14ac:dyDescent="0.25">
      <c r="AH611" s="139"/>
      <c r="AI611" s="139"/>
    </row>
    <row r="612" spans="34:35" x14ac:dyDescent="0.25">
      <c r="AH612" s="139"/>
      <c r="AI612" s="139"/>
    </row>
    <row r="613" spans="34:35" x14ac:dyDescent="0.25">
      <c r="AH613" s="139"/>
      <c r="AI613" s="139"/>
    </row>
    <row r="614" spans="34:35" x14ac:dyDescent="0.25">
      <c r="AH614" s="139"/>
      <c r="AI614" s="139"/>
    </row>
    <row r="615" spans="34:35" x14ac:dyDescent="0.25">
      <c r="AH615" s="139"/>
      <c r="AI615" s="139"/>
    </row>
    <row r="616" spans="34:35" x14ac:dyDescent="0.25">
      <c r="AH616" s="139"/>
      <c r="AI616" s="139"/>
    </row>
    <row r="617" spans="34:35" x14ac:dyDescent="0.25">
      <c r="AH617" s="139"/>
      <c r="AI617" s="139"/>
    </row>
    <row r="618" spans="34:35" x14ac:dyDescent="0.25">
      <c r="AH618" s="139"/>
      <c r="AI618" s="139"/>
    </row>
    <row r="619" spans="34:35" x14ac:dyDescent="0.25">
      <c r="AH619" s="139"/>
      <c r="AI619" s="139"/>
    </row>
    <row r="620" spans="34:35" x14ac:dyDescent="0.25">
      <c r="AH620" s="139"/>
      <c r="AI620" s="139"/>
    </row>
    <row r="621" spans="34:35" x14ac:dyDescent="0.25">
      <c r="AH621" s="139"/>
      <c r="AI621" s="139"/>
    </row>
    <row r="622" spans="34:35" x14ac:dyDescent="0.25">
      <c r="AH622" s="139"/>
      <c r="AI622" s="139"/>
    </row>
    <row r="623" spans="34:35" x14ac:dyDescent="0.25">
      <c r="AH623" s="139"/>
      <c r="AI623" s="139"/>
    </row>
    <row r="624" spans="34:35" x14ac:dyDescent="0.25">
      <c r="AH624" s="139"/>
      <c r="AI624" s="139"/>
    </row>
    <row r="625" spans="34:35" x14ac:dyDescent="0.25">
      <c r="AH625" s="139"/>
      <c r="AI625" s="139"/>
    </row>
    <row r="626" spans="34:35" x14ac:dyDescent="0.25">
      <c r="AH626" s="139"/>
      <c r="AI626" s="139"/>
    </row>
    <row r="627" spans="34:35" x14ac:dyDescent="0.25">
      <c r="AH627" s="139"/>
      <c r="AI627" s="139"/>
    </row>
    <row r="628" spans="34:35" x14ac:dyDescent="0.25">
      <c r="AH628" s="139"/>
      <c r="AI628" s="139"/>
    </row>
    <row r="629" spans="34:35" x14ac:dyDescent="0.25">
      <c r="AH629" s="139"/>
      <c r="AI629" s="139"/>
    </row>
    <row r="630" spans="34:35" x14ac:dyDescent="0.25">
      <c r="AH630" s="139"/>
      <c r="AI630" s="139"/>
    </row>
    <row r="631" spans="34:35" x14ac:dyDescent="0.25">
      <c r="AH631" s="139"/>
      <c r="AI631" s="139"/>
    </row>
    <row r="632" spans="34:35" x14ac:dyDescent="0.25">
      <c r="AH632" s="139"/>
      <c r="AI632" s="139"/>
    </row>
    <row r="633" spans="34:35" x14ac:dyDescent="0.25">
      <c r="AH633" s="139"/>
      <c r="AI633" s="139"/>
    </row>
    <row r="634" spans="34:35" x14ac:dyDescent="0.25">
      <c r="AH634" s="139"/>
      <c r="AI634" s="139"/>
    </row>
    <row r="635" spans="34:35" x14ac:dyDescent="0.25">
      <c r="AH635" s="139"/>
      <c r="AI635" s="139"/>
    </row>
    <row r="636" spans="34:35" x14ac:dyDescent="0.25">
      <c r="AH636" s="139"/>
      <c r="AI636" s="139"/>
    </row>
    <row r="637" spans="34:35" x14ac:dyDescent="0.25">
      <c r="AH637" s="139"/>
      <c r="AI637" s="139"/>
    </row>
    <row r="638" spans="34:35" x14ac:dyDescent="0.25">
      <c r="AH638" s="139"/>
      <c r="AI638" s="139"/>
    </row>
    <row r="639" spans="34:35" x14ac:dyDescent="0.25">
      <c r="AH639" s="139"/>
      <c r="AI639" s="139"/>
    </row>
    <row r="640" spans="34:35" x14ac:dyDescent="0.25">
      <c r="AH640" s="139"/>
      <c r="AI640" s="139"/>
    </row>
    <row r="641" spans="34:35" x14ac:dyDescent="0.25">
      <c r="AH641" s="139"/>
      <c r="AI641" s="139"/>
    </row>
    <row r="642" spans="34:35" x14ac:dyDescent="0.25">
      <c r="AH642" s="139"/>
      <c r="AI642" s="139"/>
    </row>
    <row r="643" spans="34:35" x14ac:dyDescent="0.25">
      <c r="AH643" s="139"/>
      <c r="AI643" s="139"/>
    </row>
    <row r="644" spans="34:35" x14ac:dyDescent="0.25">
      <c r="AH644" s="139"/>
      <c r="AI644" s="139"/>
    </row>
    <row r="645" spans="34:35" x14ac:dyDescent="0.25">
      <c r="AH645" s="139"/>
      <c r="AI645" s="139"/>
    </row>
    <row r="646" spans="34:35" x14ac:dyDescent="0.25">
      <c r="AH646" s="139"/>
      <c r="AI646" s="139"/>
    </row>
    <row r="647" spans="34:35" x14ac:dyDescent="0.25">
      <c r="AH647" s="139"/>
      <c r="AI647" s="139"/>
    </row>
    <row r="648" spans="34:35" x14ac:dyDescent="0.25">
      <c r="AH648" s="139"/>
      <c r="AI648" s="139"/>
    </row>
    <row r="649" spans="34:35" x14ac:dyDescent="0.25">
      <c r="AH649" s="139"/>
      <c r="AI649" s="139"/>
    </row>
    <row r="650" spans="34:35" x14ac:dyDescent="0.25">
      <c r="AH650" s="139"/>
      <c r="AI650" s="139"/>
    </row>
    <row r="651" spans="34:35" x14ac:dyDescent="0.25">
      <c r="AH651" s="139"/>
      <c r="AI651" s="139"/>
    </row>
    <row r="652" spans="34:35" x14ac:dyDescent="0.25">
      <c r="AH652" s="139"/>
      <c r="AI652" s="139"/>
    </row>
    <row r="653" spans="34:35" x14ac:dyDescent="0.25">
      <c r="AH653" s="139"/>
      <c r="AI653" s="139"/>
    </row>
    <row r="654" spans="34:35" x14ac:dyDescent="0.25">
      <c r="AH654" s="139"/>
      <c r="AI654" s="139"/>
    </row>
    <row r="655" spans="34:35" x14ac:dyDescent="0.25">
      <c r="AH655" s="139"/>
      <c r="AI655" s="139"/>
    </row>
    <row r="656" spans="34:35" x14ac:dyDescent="0.25">
      <c r="AH656" s="139"/>
      <c r="AI656" s="139"/>
    </row>
    <row r="657" spans="34:35" x14ac:dyDescent="0.25">
      <c r="AH657" s="139"/>
      <c r="AI657" s="139"/>
    </row>
    <row r="658" spans="34:35" x14ac:dyDescent="0.25">
      <c r="AH658" s="139"/>
      <c r="AI658" s="139"/>
    </row>
    <row r="659" spans="34:35" x14ac:dyDescent="0.25">
      <c r="AH659" s="139"/>
      <c r="AI659" s="139"/>
    </row>
    <row r="660" spans="34:35" x14ac:dyDescent="0.25">
      <c r="AH660" s="139"/>
      <c r="AI660" s="139"/>
    </row>
    <row r="661" spans="34:35" x14ac:dyDescent="0.25">
      <c r="AH661" s="139"/>
      <c r="AI661" s="139"/>
    </row>
    <row r="662" spans="34:35" x14ac:dyDescent="0.25">
      <c r="AH662" s="139"/>
      <c r="AI662" s="139"/>
    </row>
    <row r="663" spans="34:35" x14ac:dyDescent="0.25">
      <c r="AH663" s="139"/>
      <c r="AI663" s="139"/>
    </row>
    <row r="664" spans="34:35" x14ac:dyDescent="0.25">
      <c r="AH664" s="139"/>
      <c r="AI664" s="139"/>
    </row>
    <row r="665" spans="34:35" x14ac:dyDescent="0.25">
      <c r="AH665" s="139"/>
      <c r="AI665" s="139"/>
    </row>
    <row r="666" spans="34:35" x14ac:dyDescent="0.25">
      <c r="AH666" s="139"/>
      <c r="AI666" s="139"/>
    </row>
    <row r="667" spans="34:35" x14ac:dyDescent="0.25">
      <c r="AH667" s="139"/>
      <c r="AI667" s="139"/>
    </row>
    <row r="668" spans="34:35" x14ac:dyDescent="0.25">
      <c r="AH668" s="139"/>
      <c r="AI668" s="139"/>
    </row>
    <row r="669" spans="34:35" x14ac:dyDescent="0.25">
      <c r="AH669" s="139"/>
      <c r="AI669" s="139"/>
    </row>
    <row r="670" spans="34:35" x14ac:dyDescent="0.25">
      <c r="AH670" s="139"/>
      <c r="AI670" s="139"/>
    </row>
    <row r="671" spans="34:35" x14ac:dyDescent="0.25">
      <c r="AH671" s="139"/>
      <c r="AI671" s="139"/>
    </row>
    <row r="672" spans="34:35" x14ac:dyDescent="0.25">
      <c r="AH672" s="139"/>
      <c r="AI672" s="139"/>
    </row>
    <row r="673" spans="34:35" x14ac:dyDescent="0.25">
      <c r="AH673" s="139"/>
      <c r="AI673" s="139"/>
    </row>
    <row r="674" spans="34:35" x14ac:dyDescent="0.25">
      <c r="AH674" s="139"/>
      <c r="AI674" s="139"/>
    </row>
    <row r="675" spans="34:35" x14ac:dyDescent="0.25">
      <c r="AH675" s="139"/>
      <c r="AI675" s="139"/>
    </row>
    <row r="676" spans="34:35" x14ac:dyDescent="0.25">
      <c r="AH676" s="139"/>
      <c r="AI676" s="139"/>
    </row>
    <row r="677" spans="34:35" x14ac:dyDescent="0.25">
      <c r="AH677" s="139"/>
      <c r="AI677" s="139"/>
    </row>
    <row r="678" spans="34:35" x14ac:dyDescent="0.25">
      <c r="AH678" s="139"/>
      <c r="AI678" s="139"/>
    </row>
    <row r="679" spans="34:35" x14ac:dyDescent="0.25">
      <c r="AH679" s="139"/>
      <c r="AI679" s="139"/>
    </row>
    <row r="680" spans="34:35" x14ac:dyDescent="0.25">
      <c r="AH680" s="139"/>
      <c r="AI680" s="139"/>
    </row>
    <row r="681" spans="34:35" x14ac:dyDescent="0.25">
      <c r="AH681" s="139"/>
      <c r="AI681" s="139"/>
    </row>
    <row r="682" spans="34:35" x14ac:dyDescent="0.25">
      <c r="AH682" s="139"/>
      <c r="AI682" s="139"/>
    </row>
    <row r="683" spans="34:35" x14ac:dyDescent="0.25">
      <c r="AH683" s="139"/>
      <c r="AI683" s="139"/>
    </row>
    <row r="684" spans="34:35" x14ac:dyDescent="0.25">
      <c r="AH684" s="139"/>
      <c r="AI684" s="139"/>
    </row>
    <row r="685" spans="34:35" x14ac:dyDescent="0.25">
      <c r="AH685" s="139"/>
      <c r="AI685" s="139"/>
    </row>
    <row r="686" spans="34:35" x14ac:dyDescent="0.25">
      <c r="AH686" s="139"/>
      <c r="AI686" s="139"/>
    </row>
    <row r="687" spans="34:35" x14ac:dyDescent="0.25">
      <c r="AH687" s="139"/>
      <c r="AI687" s="139"/>
    </row>
    <row r="688" spans="34:35" x14ac:dyDescent="0.25">
      <c r="AH688" s="139"/>
      <c r="AI688" s="139"/>
    </row>
    <row r="689" spans="34:35" x14ac:dyDescent="0.25">
      <c r="AH689" s="139"/>
      <c r="AI689" s="139"/>
    </row>
    <row r="690" spans="34:35" x14ac:dyDescent="0.25">
      <c r="AH690" s="139"/>
      <c r="AI690" s="139"/>
    </row>
    <row r="691" spans="34:35" x14ac:dyDescent="0.25">
      <c r="AH691" s="139"/>
      <c r="AI691" s="139"/>
    </row>
    <row r="692" spans="34:35" x14ac:dyDescent="0.25">
      <c r="AH692" s="139"/>
      <c r="AI692" s="139"/>
    </row>
    <row r="693" spans="34:35" x14ac:dyDescent="0.25">
      <c r="AH693" s="139"/>
      <c r="AI693" s="139"/>
    </row>
    <row r="694" spans="34:35" x14ac:dyDescent="0.25">
      <c r="AH694" s="139"/>
      <c r="AI694" s="139"/>
    </row>
    <row r="695" spans="34:35" x14ac:dyDescent="0.25">
      <c r="AH695" s="139"/>
      <c r="AI695" s="139"/>
    </row>
    <row r="696" spans="34:35" x14ac:dyDescent="0.25">
      <c r="AH696" s="139"/>
      <c r="AI696" s="139"/>
    </row>
    <row r="697" spans="34:35" x14ac:dyDescent="0.25">
      <c r="AH697" s="139"/>
      <c r="AI697" s="139"/>
    </row>
    <row r="698" spans="34:35" x14ac:dyDescent="0.25">
      <c r="AH698" s="139"/>
      <c r="AI698" s="139"/>
    </row>
    <row r="699" spans="34:35" x14ac:dyDescent="0.25">
      <c r="AH699" s="139"/>
      <c r="AI699" s="139"/>
    </row>
    <row r="700" spans="34:35" x14ac:dyDescent="0.25">
      <c r="AH700" s="139"/>
      <c r="AI700" s="139"/>
    </row>
    <row r="701" spans="34:35" x14ac:dyDescent="0.25">
      <c r="AH701" s="139"/>
      <c r="AI701" s="139"/>
    </row>
    <row r="702" spans="34:35" x14ac:dyDescent="0.25">
      <c r="AH702" s="139"/>
      <c r="AI702" s="139"/>
    </row>
    <row r="703" spans="34:35" x14ac:dyDescent="0.25">
      <c r="AH703" s="139"/>
      <c r="AI703" s="139"/>
    </row>
    <row r="704" spans="34:35" x14ac:dyDescent="0.25">
      <c r="AH704" s="139"/>
      <c r="AI704" s="139"/>
    </row>
    <row r="705" spans="34:35" x14ac:dyDescent="0.25">
      <c r="AH705" s="139"/>
      <c r="AI705" s="139"/>
    </row>
    <row r="706" spans="34:35" x14ac:dyDescent="0.25">
      <c r="AH706" s="139"/>
      <c r="AI706" s="139"/>
    </row>
    <row r="707" spans="34:35" x14ac:dyDescent="0.25">
      <c r="AH707" s="139"/>
      <c r="AI707" s="139"/>
    </row>
    <row r="708" spans="34:35" x14ac:dyDescent="0.25">
      <c r="AH708" s="139"/>
      <c r="AI708" s="139"/>
    </row>
    <row r="709" spans="34:35" x14ac:dyDescent="0.25">
      <c r="AH709" s="139"/>
      <c r="AI709" s="139"/>
    </row>
    <row r="710" spans="34:35" x14ac:dyDescent="0.25">
      <c r="AH710" s="139"/>
      <c r="AI710" s="139"/>
    </row>
    <row r="711" spans="34:35" x14ac:dyDescent="0.25">
      <c r="AH711" s="139"/>
      <c r="AI711" s="139"/>
    </row>
    <row r="712" spans="34:35" x14ac:dyDescent="0.25">
      <c r="AH712" s="139"/>
      <c r="AI712" s="139"/>
    </row>
    <row r="713" spans="34:35" x14ac:dyDescent="0.25">
      <c r="AH713" s="139"/>
      <c r="AI713" s="139"/>
    </row>
    <row r="714" spans="34:35" x14ac:dyDescent="0.25">
      <c r="AH714" s="139"/>
      <c r="AI714" s="139"/>
    </row>
    <row r="715" spans="34:35" x14ac:dyDescent="0.25">
      <c r="AH715" s="139"/>
      <c r="AI715" s="139"/>
    </row>
    <row r="716" spans="34:35" x14ac:dyDescent="0.25">
      <c r="AH716" s="139"/>
      <c r="AI716" s="139"/>
    </row>
    <row r="717" spans="34:35" x14ac:dyDescent="0.25">
      <c r="AH717" s="139"/>
      <c r="AI717" s="139"/>
    </row>
    <row r="718" spans="34:35" x14ac:dyDescent="0.25">
      <c r="AH718" s="139"/>
      <c r="AI718" s="139"/>
    </row>
    <row r="719" spans="34:35" x14ac:dyDescent="0.25">
      <c r="AH719" s="139"/>
      <c r="AI719" s="139"/>
    </row>
    <row r="720" spans="34:35" x14ac:dyDescent="0.25">
      <c r="AH720" s="139"/>
      <c r="AI720" s="139"/>
    </row>
    <row r="721" spans="34:35" x14ac:dyDescent="0.25">
      <c r="AH721" s="139"/>
      <c r="AI721" s="139"/>
    </row>
    <row r="722" spans="34:35" x14ac:dyDescent="0.25">
      <c r="AH722" s="139"/>
      <c r="AI722" s="139"/>
    </row>
    <row r="723" spans="34:35" x14ac:dyDescent="0.25">
      <c r="AH723" s="139"/>
      <c r="AI723" s="139"/>
    </row>
    <row r="724" spans="34:35" x14ac:dyDescent="0.25">
      <c r="AH724" s="139"/>
      <c r="AI724" s="139"/>
    </row>
    <row r="725" spans="34:35" x14ac:dyDescent="0.25">
      <c r="AH725" s="139"/>
      <c r="AI725" s="139"/>
    </row>
    <row r="726" spans="34:35" x14ac:dyDescent="0.25">
      <c r="AH726" s="139"/>
      <c r="AI726" s="139"/>
    </row>
    <row r="727" spans="34:35" x14ac:dyDescent="0.25">
      <c r="AH727" s="139"/>
      <c r="AI727" s="139"/>
    </row>
    <row r="728" spans="34:35" x14ac:dyDescent="0.25">
      <c r="AH728" s="139"/>
      <c r="AI728" s="139"/>
    </row>
    <row r="729" spans="34:35" x14ac:dyDescent="0.25">
      <c r="AH729" s="139"/>
      <c r="AI729" s="139"/>
    </row>
    <row r="730" spans="34:35" x14ac:dyDescent="0.25">
      <c r="AH730" s="139"/>
      <c r="AI730" s="139"/>
    </row>
    <row r="731" spans="34:35" x14ac:dyDescent="0.25">
      <c r="AH731" s="139"/>
      <c r="AI731" s="139"/>
    </row>
    <row r="732" spans="34:35" x14ac:dyDescent="0.25">
      <c r="AH732" s="139"/>
      <c r="AI732" s="139"/>
    </row>
    <row r="733" spans="34:35" x14ac:dyDescent="0.25">
      <c r="AH733" s="139"/>
      <c r="AI733" s="139"/>
    </row>
    <row r="734" spans="34:35" x14ac:dyDescent="0.25">
      <c r="AH734" s="139"/>
      <c r="AI734" s="139"/>
    </row>
    <row r="735" spans="34:35" x14ac:dyDescent="0.25">
      <c r="AH735" s="139"/>
      <c r="AI735" s="139"/>
    </row>
    <row r="736" spans="34:35" x14ac:dyDescent="0.25">
      <c r="AH736" s="139"/>
      <c r="AI736" s="139"/>
    </row>
    <row r="737" spans="34:35" x14ac:dyDescent="0.25">
      <c r="AH737" s="139"/>
      <c r="AI737" s="139"/>
    </row>
    <row r="738" spans="34:35" x14ac:dyDescent="0.25">
      <c r="AH738" s="139"/>
      <c r="AI738" s="139"/>
    </row>
    <row r="739" spans="34:35" x14ac:dyDescent="0.25">
      <c r="AH739" s="139"/>
      <c r="AI739" s="139"/>
    </row>
    <row r="740" spans="34:35" x14ac:dyDescent="0.25">
      <c r="AH740" s="139"/>
      <c r="AI740" s="139"/>
    </row>
    <row r="741" spans="34:35" x14ac:dyDescent="0.25">
      <c r="AH741" s="139"/>
      <c r="AI741" s="139"/>
    </row>
    <row r="742" spans="34:35" x14ac:dyDescent="0.25">
      <c r="AH742" s="139"/>
      <c r="AI742" s="139"/>
    </row>
    <row r="743" spans="34:35" x14ac:dyDescent="0.25">
      <c r="AH743" s="139"/>
      <c r="AI743" s="139"/>
    </row>
    <row r="744" spans="34:35" x14ac:dyDescent="0.25">
      <c r="AH744" s="139"/>
      <c r="AI744" s="139"/>
    </row>
    <row r="745" spans="34:35" x14ac:dyDescent="0.25">
      <c r="AH745" s="139"/>
      <c r="AI745" s="139"/>
    </row>
    <row r="746" spans="34:35" x14ac:dyDescent="0.25">
      <c r="AH746" s="139"/>
      <c r="AI746" s="139"/>
    </row>
    <row r="747" spans="34:35" x14ac:dyDescent="0.25">
      <c r="AH747" s="139"/>
      <c r="AI747" s="139"/>
    </row>
    <row r="748" spans="34:35" x14ac:dyDescent="0.25">
      <c r="AH748" s="139"/>
      <c r="AI748" s="139"/>
    </row>
    <row r="749" spans="34:35" x14ac:dyDescent="0.25">
      <c r="AH749" s="139"/>
      <c r="AI749" s="139"/>
    </row>
    <row r="750" spans="34:35" x14ac:dyDescent="0.25">
      <c r="AH750" s="139"/>
      <c r="AI750" s="139"/>
    </row>
    <row r="751" spans="34:35" x14ac:dyDescent="0.25">
      <c r="AH751" s="139"/>
      <c r="AI751" s="139"/>
    </row>
    <row r="752" spans="34:35" x14ac:dyDescent="0.25">
      <c r="AH752" s="139"/>
      <c r="AI752" s="139"/>
    </row>
    <row r="753" spans="34:35" x14ac:dyDescent="0.25">
      <c r="AH753" s="139"/>
      <c r="AI753" s="139"/>
    </row>
    <row r="754" spans="34:35" x14ac:dyDescent="0.25">
      <c r="AH754" s="139"/>
      <c r="AI754" s="139"/>
    </row>
    <row r="755" spans="34:35" x14ac:dyDescent="0.25">
      <c r="AH755" s="139"/>
      <c r="AI755" s="139"/>
    </row>
    <row r="756" spans="34:35" x14ac:dyDescent="0.25">
      <c r="AH756" s="139"/>
      <c r="AI756" s="139"/>
    </row>
    <row r="757" spans="34:35" x14ac:dyDescent="0.25">
      <c r="AH757" s="139"/>
      <c r="AI757" s="139"/>
    </row>
    <row r="758" spans="34:35" x14ac:dyDescent="0.25">
      <c r="AH758" s="139"/>
      <c r="AI758" s="139"/>
    </row>
    <row r="759" spans="34:35" x14ac:dyDescent="0.25">
      <c r="AH759" s="139"/>
      <c r="AI759" s="139"/>
    </row>
    <row r="760" spans="34:35" x14ac:dyDescent="0.25">
      <c r="AH760" s="139"/>
      <c r="AI760" s="139"/>
    </row>
    <row r="761" spans="34:35" x14ac:dyDescent="0.25">
      <c r="AH761" s="139"/>
      <c r="AI761" s="139"/>
    </row>
    <row r="762" spans="34:35" x14ac:dyDescent="0.25">
      <c r="AH762" s="139"/>
      <c r="AI762" s="139"/>
    </row>
    <row r="763" spans="34:35" x14ac:dyDescent="0.25">
      <c r="AH763" s="139"/>
      <c r="AI763" s="139"/>
    </row>
    <row r="764" spans="34:35" x14ac:dyDescent="0.25">
      <c r="AH764" s="139"/>
      <c r="AI764" s="139"/>
    </row>
    <row r="765" spans="34:35" x14ac:dyDescent="0.25">
      <c r="AH765" s="139"/>
      <c r="AI765" s="139"/>
    </row>
    <row r="766" spans="34:35" x14ac:dyDescent="0.25">
      <c r="AH766" s="139"/>
      <c r="AI766" s="139"/>
    </row>
    <row r="767" spans="34:35" x14ac:dyDescent="0.25">
      <c r="AH767" s="139"/>
      <c r="AI767" s="139"/>
    </row>
    <row r="768" spans="34:35" x14ac:dyDescent="0.25">
      <c r="AH768" s="139"/>
      <c r="AI768" s="139"/>
    </row>
    <row r="769" spans="34:35" x14ac:dyDescent="0.25">
      <c r="AH769" s="139"/>
      <c r="AI769" s="139"/>
    </row>
    <row r="770" spans="34:35" x14ac:dyDescent="0.25">
      <c r="AH770" s="139"/>
      <c r="AI770" s="139"/>
    </row>
    <row r="771" spans="34:35" x14ac:dyDescent="0.25">
      <c r="AH771" s="139"/>
      <c r="AI771" s="139"/>
    </row>
    <row r="772" spans="34:35" x14ac:dyDescent="0.25">
      <c r="AH772" s="139"/>
      <c r="AI772" s="139"/>
    </row>
    <row r="773" spans="34:35" x14ac:dyDescent="0.25">
      <c r="AH773" s="139"/>
      <c r="AI773" s="139"/>
    </row>
    <row r="774" spans="34:35" x14ac:dyDescent="0.25">
      <c r="AH774" s="139"/>
      <c r="AI774" s="139"/>
    </row>
    <row r="775" spans="34:35" x14ac:dyDescent="0.25">
      <c r="AH775" s="139"/>
      <c r="AI775" s="139"/>
    </row>
    <row r="776" spans="34:35" x14ac:dyDescent="0.25">
      <c r="AH776" s="139"/>
      <c r="AI776" s="139"/>
    </row>
    <row r="777" spans="34:35" x14ac:dyDescent="0.25">
      <c r="AH777" s="139"/>
      <c r="AI777" s="139"/>
    </row>
    <row r="778" spans="34:35" x14ac:dyDescent="0.25">
      <c r="AH778" s="139"/>
      <c r="AI778" s="139"/>
    </row>
    <row r="779" spans="34:35" x14ac:dyDescent="0.25">
      <c r="AH779" s="139"/>
      <c r="AI779" s="139"/>
    </row>
    <row r="780" spans="34:35" x14ac:dyDescent="0.25">
      <c r="AH780" s="139"/>
      <c r="AI780" s="139"/>
    </row>
    <row r="781" spans="34:35" x14ac:dyDescent="0.25">
      <c r="AH781" s="139"/>
      <c r="AI781" s="139"/>
    </row>
    <row r="782" spans="34:35" x14ac:dyDescent="0.25">
      <c r="AH782" s="139"/>
      <c r="AI782" s="139"/>
    </row>
    <row r="783" spans="34:35" x14ac:dyDescent="0.25">
      <c r="AH783" s="139"/>
      <c r="AI783" s="139"/>
    </row>
    <row r="784" spans="34:35" x14ac:dyDescent="0.25">
      <c r="AH784" s="139"/>
      <c r="AI784" s="139"/>
    </row>
    <row r="785" spans="34:35" x14ac:dyDescent="0.25">
      <c r="AH785" s="139"/>
      <c r="AI785" s="139"/>
    </row>
    <row r="786" spans="34:35" x14ac:dyDescent="0.25">
      <c r="AH786" s="139"/>
      <c r="AI786" s="139"/>
    </row>
    <row r="787" spans="34:35" x14ac:dyDescent="0.25">
      <c r="AH787" s="139"/>
      <c r="AI787" s="139"/>
    </row>
    <row r="788" spans="34:35" x14ac:dyDescent="0.25">
      <c r="AH788" s="139"/>
      <c r="AI788" s="139"/>
    </row>
    <row r="789" spans="34:35" x14ac:dyDescent="0.25">
      <c r="AH789" s="139"/>
      <c r="AI789" s="139"/>
    </row>
    <row r="790" spans="34:35" x14ac:dyDescent="0.25">
      <c r="AH790" s="139"/>
      <c r="AI790" s="139"/>
    </row>
    <row r="791" spans="34:35" x14ac:dyDescent="0.25">
      <c r="AH791" s="139"/>
      <c r="AI791" s="139"/>
    </row>
    <row r="792" spans="34:35" x14ac:dyDescent="0.25">
      <c r="AH792" s="139"/>
      <c r="AI792" s="139"/>
    </row>
    <row r="793" spans="34:35" x14ac:dyDescent="0.25">
      <c r="AH793" s="139"/>
      <c r="AI793" s="139"/>
    </row>
    <row r="794" spans="34:35" x14ac:dyDescent="0.25">
      <c r="AH794" s="139"/>
      <c r="AI794" s="139"/>
    </row>
    <row r="795" spans="34:35" x14ac:dyDescent="0.25">
      <c r="AH795" s="139"/>
      <c r="AI795" s="139"/>
    </row>
    <row r="796" spans="34:35" x14ac:dyDescent="0.25">
      <c r="AH796" s="139"/>
      <c r="AI796" s="139"/>
    </row>
    <row r="797" spans="34:35" x14ac:dyDescent="0.25">
      <c r="AH797" s="139"/>
      <c r="AI797" s="139"/>
    </row>
    <row r="798" spans="34:35" x14ac:dyDescent="0.25">
      <c r="AH798" s="139"/>
      <c r="AI798" s="139"/>
    </row>
    <row r="799" spans="34:35" x14ac:dyDescent="0.25">
      <c r="AH799" s="139"/>
      <c r="AI799" s="139"/>
    </row>
    <row r="800" spans="34:35" x14ac:dyDescent="0.25">
      <c r="AH800" s="139"/>
      <c r="AI800" s="139"/>
    </row>
    <row r="801" spans="34:35" x14ac:dyDescent="0.25">
      <c r="AH801" s="139"/>
      <c r="AI801" s="139"/>
    </row>
    <row r="802" spans="34:35" x14ac:dyDescent="0.25">
      <c r="AH802" s="139"/>
      <c r="AI802" s="139"/>
    </row>
    <row r="803" spans="34:35" x14ac:dyDescent="0.25">
      <c r="AH803" s="139"/>
      <c r="AI803" s="139"/>
    </row>
    <row r="804" spans="34:35" x14ac:dyDescent="0.25">
      <c r="AH804" s="139"/>
      <c r="AI804" s="139"/>
    </row>
    <row r="805" spans="34:35" x14ac:dyDescent="0.25">
      <c r="AH805" s="139"/>
      <c r="AI805" s="139"/>
    </row>
    <row r="806" spans="34:35" x14ac:dyDescent="0.25">
      <c r="AH806" s="139"/>
      <c r="AI806" s="139"/>
    </row>
    <row r="807" spans="34:35" x14ac:dyDescent="0.25">
      <c r="AH807" s="139"/>
      <c r="AI807" s="139"/>
    </row>
    <row r="808" spans="34:35" x14ac:dyDescent="0.25">
      <c r="AH808" s="139"/>
      <c r="AI808" s="139"/>
    </row>
    <row r="809" spans="34:35" x14ac:dyDescent="0.25">
      <c r="AH809" s="139"/>
      <c r="AI809" s="139"/>
    </row>
    <row r="810" spans="34:35" x14ac:dyDescent="0.25">
      <c r="AH810" s="139"/>
      <c r="AI810" s="139"/>
    </row>
    <row r="811" spans="34:35" x14ac:dyDescent="0.25">
      <c r="AH811" s="139"/>
      <c r="AI811" s="139"/>
    </row>
    <row r="812" spans="34:35" x14ac:dyDescent="0.25">
      <c r="AH812" s="139"/>
      <c r="AI812" s="139"/>
    </row>
    <row r="813" spans="34:35" x14ac:dyDescent="0.25">
      <c r="AH813" s="139"/>
      <c r="AI813" s="139"/>
    </row>
    <row r="814" spans="34:35" x14ac:dyDescent="0.25">
      <c r="AH814" s="139"/>
      <c r="AI814" s="139"/>
    </row>
    <row r="815" spans="34:35" x14ac:dyDescent="0.25">
      <c r="AH815" s="139"/>
      <c r="AI815" s="139"/>
    </row>
    <row r="816" spans="34:35" x14ac:dyDescent="0.25">
      <c r="AH816" s="139"/>
      <c r="AI816" s="139"/>
    </row>
    <row r="817" spans="34:35" x14ac:dyDescent="0.25">
      <c r="AH817" s="139"/>
      <c r="AI817" s="139"/>
    </row>
    <row r="818" spans="34:35" x14ac:dyDescent="0.25">
      <c r="AH818" s="139"/>
      <c r="AI818" s="139"/>
    </row>
    <row r="819" spans="34:35" x14ac:dyDescent="0.25">
      <c r="AH819" s="139"/>
      <c r="AI819" s="139"/>
    </row>
    <row r="820" spans="34:35" x14ac:dyDescent="0.25">
      <c r="AH820" s="139"/>
      <c r="AI820" s="139"/>
    </row>
    <row r="821" spans="34:35" x14ac:dyDescent="0.25">
      <c r="AH821" s="139"/>
      <c r="AI821" s="139"/>
    </row>
    <row r="822" spans="34:35" x14ac:dyDescent="0.25">
      <c r="AH822" s="139"/>
      <c r="AI822" s="139"/>
    </row>
    <row r="823" spans="34:35" x14ac:dyDescent="0.25">
      <c r="AH823" s="139"/>
      <c r="AI823" s="139"/>
    </row>
    <row r="824" spans="34:35" x14ac:dyDescent="0.25">
      <c r="AH824" s="139"/>
      <c r="AI824" s="139"/>
    </row>
    <row r="825" spans="34:35" x14ac:dyDescent="0.25">
      <c r="AH825" s="139"/>
      <c r="AI825" s="139"/>
    </row>
    <row r="826" spans="34:35" x14ac:dyDescent="0.25">
      <c r="AH826" s="139"/>
      <c r="AI826" s="139"/>
    </row>
    <row r="827" spans="34:35" x14ac:dyDescent="0.25">
      <c r="AH827" s="139"/>
      <c r="AI827" s="139"/>
    </row>
    <row r="828" spans="34:35" x14ac:dyDescent="0.25">
      <c r="AH828" s="139"/>
      <c r="AI828" s="139"/>
    </row>
    <row r="829" spans="34:35" x14ac:dyDescent="0.25">
      <c r="AH829" s="139"/>
      <c r="AI829" s="139"/>
    </row>
    <row r="830" spans="34:35" x14ac:dyDescent="0.25">
      <c r="AH830" s="139"/>
      <c r="AI830" s="139"/>
    </row>
    <row r="831" spans="34:35" x14ac:dyDescent="0.25">
      <c r="AH831" s="139"/>
      <c r="AI831" s="139"/>
    </row>
    <row r="832" spans="34:35" x14ac:dyDescent="0.25">
      <c r="AH832" s="139"/>
      <c r="AI832" s="139"/>
    </row>
    <row r="833" spans="34:35" x14ac:dyDescent="0.25">
      <c r="AH833" s="139"/>
      <c r="AI833" s="139"/>
    </row>
    <row r="834" spans="34:35" x14ac:dyDescent="0.25">
      <c r="AH834" s="139"/>
      <c r="AI834" s="139"/>
    </row>
    <row r="835" spans="34:35" x14ac:dyDescent="0.25">
      <c r="AH835" s="139"/>
      <c r="AI835" s="139"/>
    </row>
    <row r="836" spans="34:35" x14ac:dyDescent="0.25">
      <c r="AH836" s="139"/>
      <c r="AI836" s="139"/>
    </row>
    <row r="837" spans="34:35" x14ac:dyDescent="0.25">
      <c r="AH837" s="139"/>
      <c r="AI837" s="139"/>
    </row>
    <row r="838" spans="34:35" x14ac:dyDescent="0.25">
      <c r="AH838" s="139"/>
      <c r="AI838" s="139"/>
    </row>
    <row r="839" spans="34:35" x14ac:dyDescent="0.25">
      <c r="AH839" s="139"/>
      <c r="AI839" s="139"/>
    </row>
    <row r="840" spans="34:35" x14ac:dyDescent="0.25">
      <c r="AH840" s="139"/>
      <c r="AI840" s="139"/>
    </row>
    <row r="841" spans="34:35" x14ac:dyDescent="0.25">
      <c r="AH841" s="139"/>
      <c r="AI841" s="139"/>
    </row>
    <row r="842" spans="34:35" x14ac:dyDescent="0.25">
      <c r="AH842" s="139"/>
      <c r="AI842" s="139"/>
    </row>
    <row r="843" spans="34:35" x14ac:dyDescent="0.25">
      <c r="AH843" s="139"/>
      <c r="AI843" s="139"/>
    </row>
    <row r="844" spans="34:35" x14ac:dyDescent="0.25">
      <c r="AH844" s="139"/>
      <c r="AI844" s="139"/>
    </row>
    <row r="845" spans="34:35" x14ac:dyDescent="0.25">
      <c r="AH845" s="139"/>
      <c r="AI845" s="139"/>
    </row>
    <row r="846" spans="34:35" x14ac:dyDescent="0.25">
      <c r="AH846" s="139"/>
      <c r="AI846" s="139"/>
    </row>
    <row r="847" spans="34:35" x14ac:dyDescent="0.25">
      <c r="AH847" s="139"/>
      <c r="AI847" s="139"/>
    </row>
    <row r="848" spans="34:35" x14ac:dyDescent="0.25">
      <c r="AH848" s="139"/>
      <c r="AI848" s="139"/>
    </row>
    <row r="849" spans="34:35" x14ac:dyDescent="0.25">
      <c r="AH849" s="139"/>
      <c r="AI849" s="139"/>
    </row>
    <row r="850" spans="34:35" x14ac:dyDescent="0.25">
      <c r="AH850" s="139"/>
      <c r="AI850" s="139"/>
    </row>
    <row r="851" spans="34:35" x14ac:dyDescent="0.25">
      <c r="AH851" s="139"/>
      <c r="AI851" s="139"/>
    </row>
    <row r="852" spans="34:35" x14ac:dyDescent="0.25">
      <c r="AH852" s="139"/>
      <c r="AI852" s="139"/>
    </row>
    <row r="853" spans="34:35" x14ac:dyDescent="0.25">
      <c r="AH853" s="139"/>
      <c r="AI853" s="139"/>
    </row>
    <row r="854" spans="34:35" x14ac:dyDescent="0.25">
      <c r="AH854" s="139"/>
      <c r="AI854" s="139"/>
    </row>
    <row r="855" spans="34:35" x14ac:dyDescent="0.25">
      <c r="AH855" s="139"/>
      <c r="AI855" s="139"/>
    </row>
    <row r="856" spans="34:35" x14ac:dyDescent="0.25">
      <c r="AH856" s="139"/>
      <c r="AI856" s="139"/>
    </row>
    <row r="857" spans="34:35" x14ac:dyDescent="0.25">
      <c r="AH857" s="139"/>
      <c r="AI857" s="139"/>
    </row>
    <row r="858" spans="34:35" x14ac:dyDescent="0.25">
      <c r="AH858" s="139"/>
      <c r="AI858" s="139"/>
    </row>
    <row r="859" spans="34:35" x14ac:dyDescent="0.25">
      <c r="AH859" s="139"/>
      <c r="AI859" s="139"/>
    </row>
    <row r="860" spans="34:35" x14ac:dyDescent="0.25">
      <c r="AH860" s="139"/>
      <c r="AI860" s="139"/>
    </row>
    <row r="861" spans="34:35" x14ac:dyDescent="0.25">
      <c r="AH861" s="139"/>
      <c r="AI861" s="139"/>
    </row>
    <row r="862" spans="34:35" x14ac:dyDescent="0.25">
      <c r="AH862" s="139"/>
      <c r="AI862" s="139"/>
    </row>
    <row r="863" spans="34:35" x14ac:dyDescent="0.25">
      <c r="AH863" s="139"/>
      <c r="AI863" s="139"/>
    </row>
    <row r="864" spans="34:35" x14ac:dyDescent="0.25">
      <c r="AH864" s="139"/>
      <c r="AI864" s="139"/>
    </row>
    <row r="865" spans="34:35" x14ac:dyDescent="0.25">
      <c r="AH865" s="139"/>
      <c r="AI865" s="139"/>
    </row>
    <row r="866" spans="34:35" x14ac:dyDescent="0.25">
      <c r="AH866" s="139"/>
      <c r="AI866" s="139"/>
    </row>
    <row r="867" spans="34:35" x14ac:dyDescent="0.25">
      <c r="AH867" s="139"/>
      <c r="AI867" s="139"/>
    </row>
    <row r="868" spans="34:35" x14ac:dyDescent="0.25">
      <c r="AH868" s="139"/>
      <c r="AI868" s="139"/>
    </row>
    <row r="869" spans="34:35" x14ac:dyDescent="0.25">
      <c r="AH869" s="139"/>
      <c r="AI869" s="139"/>
    </row>
    <row r="870" spans="34:35" x14ac:dyDescent="0.25">
      <c r="AH870" s="139"/>
      <c r="AI870" s="139"/>
    </row>
    <row r="871" spans="34:35" x14ac:dyDescent="0.25">
      <c r="AH871" s="139"/>
      <c r="AI871" s="139"/>
    </row>
    <row r="872" spans="34:35" x14ac:dyDescent="0.25">
      <c r="AH872" s="139"/>
      <c r="AI872" s="139"/>
    </row>
    <row r="873" spans="34:35" x14ac:dyDescent="0.25">
      <c r="AH873" s="139"/>
      <c r="AI873" s="139"/>
    </row>
    <row r="874" spans="34:35" x14ac:dyDescent="0.25">
      <c r="AH874" s="139"/>
      <c r="AI874" s="139"/>
    </row>
    <row r="875" spans="34:35" x14ac:dyDescent="0.25">
      <c r="AH875" s="139"/>
      <c r="AI875" s="139"/>
    </row>
    <row r="876" spans="34:35" x14ac:dyDescent="0.25">
      <c r="AH876" s="139"/>
      <c r="AI876" s="139"/>
    </row>
    <row r="877" spans="34:35" x14ac:dyDescent="0.25">
      <c r="AH877" s="139"/>
      <c r="AI877" s="139"/>
    </row>
    <row r="878" spans="34:35" x14ac:dyDescent="0.25">
      <c r="AH878" s="139"/>
      <c r="AI878" s="139"/>
    </row>
    <row r="879" spans="34:35" x14ac:dyDescent="0.25">
      <c r="AH879" s="139"/>
      <c r="AI879" s="139"/>
    </row>
    <row r="880" spans="34:35" x14ac:dyDescent="0.25">
      <c r="AH880" s="139"/>
      <c r="AI880" s="139"/>
    </row>
    <row r="881" spans="34:35" x14ac:dyDescent="0.25">
      <c r="AH881" s="139"/>
      <c r="AI881" s="139"/>
    </row>
    <row r="882" spans="34:35" x14ac:dyDescent="0.25">
      <c r="AH882" s="139"/>
      <c r="AI882" s="139"/>
    </row>
    <row r="883" spans="34:35" x14ac:dyDescent="0.25">
      <c r="AH883" s="139"/>
      <c r="AI883" s="139"/>
    </row>
    <row r="884" spans="34:35" x14ac:dyDescent="0.25">
      <c r="AH884" s="139"/>
      <c r="AI884" s="139"/>
    </row>
    <row r="885" spans="34:35" x14ac:dyDescent="0.25">
      <c r="AH885" s="139"/>
      <c r="AI885" s="139"/>
    </row>
    <row r="886" spans="34:35" x14ac:dyDescent="0.25">
      <c r="AH886" s="139"/>
      <c r="AI886" s="139"/>
    </row>
    <row r="887" spans="34:35" x14ac:dyDescent="0.25">
      <c r="AH887" s="139"/>
      <c r="AI887" s="139"/>
    </row>
    <row r="888" spans="34:35" x14ac:dyDescent="0.25">
      <c r="AH888" s="139"/>
      <c r="AI888" s="139"/>
    </row>
    <row r="889" spans="34:35" x14ac:dyDescent="0.25">
      <c r="AH889" s="139"/>
      <c r="AI889" s="139"/>
    </row>
    <row r="890" spans="34:35" x14ac:dyDescent="0.25">
      <c r="AH890" s="139"/>
      <c r="AI890" s="139"/>
    </row>
    <row r="891" spans="34:35" x14ac:dyDescent="0.25">
      <c r="AH891" s="139"/>
      <c r="AI891" s="139"/>
    </row>
    <row r="892" spans="34:35" x14ac:dyDescent="0.25">
      <c r="AH892" s="139"/>
      <c r="AI892" s="139"/>
    </row>
    <row r="893" spans="34:35" x14ac:dyDescent="0.25">
      <c r="AH893" s="139"/>
      <c r="AI893" s="139"/>
    </row>
    <row r="894" spans="34:35" x14ac:dyDescent="0.25">
      <c r="AH894" s="139"/>
      <c r="AI894" s="139"/>
    </row>
    <row r="895" spans="34:35" x14ac:dyDescent="0.25">
      <c r="AH895" s="139"/>
      <c r="AI895" s="139"/>
    </row>
    <row r="896" spans="34:35" x14ac:dyDescent="0.25">
      <c r="AH896" s="139"/>
      <c r="AI896" s="139"/>
    </row>
    <row r="897" spans="34:35" x14ac:dyDescent="0.25">
      <c r="AH897" s="139"/>
      <c r="AI897" s="139"/>
    </row>
    <row r="898" spans="34:35" x14ac:dyDescent="0.25">
      <c r="AH898" s="139"/>
      <c r="AI898" s="139"/>
    </row>
    <row r="899" spans="34:35" x14ac:dyDescent="0.25">
      <c r="AH899" s="139"/>
      <c r="AI899" s="139"/>
    </row>
    <row r="900" spans="34:35" x14ac:dyDescent="0.25">
      <c r="AH900" s="139"/>
      <c r="AI900" s="139"/>
    </row>
    <row r="901" spans="34:35" x14ac:dyDescent="0.25">
      <c r="AH901" s="139"/>
      <c r="AI901" s="139"/>
    </row>
    <row r="902" spans="34:35" x14ac:dyDescent="0.25">
      <c r="AH902" s="139"/>
      <c r="AI902" s="139"/>
    </row>
    <row r="903" spans="34:35" x14ac:dyDescent="0.25">
      <c r="AH903" s="139"/>
      <c r="AI903" s="139"/>
    </row>
    <row r="904" spans="34:35" x14ac:dyDescent="0.25">
      <c r="AH904" s="139"/>
      <c r="AI904" s="139"/>
    </row>
    <row r="905" spans="34:35" x14ac:dyDescent="0.25">
      <c r="AH905" s="139"/>
      <c r="AI905" s="139"/>
    </row>
    <row r="906" spans="34:35" x14ac:dyDescent="0.25">
      <c r="AH906" s="139"/>
      <c r="AI906" s="139"/>
    </row>
    <row r="907" spans="34:35" x14ac:dyDescent="0.25">
      <c r="AH907" s="139"/>
      <c r="AI907" s="139"/>
    </row>
    <row r="908" spans="34:35" x14ac:dyDescent="0.25">
      <c r="AH908" s="139"/>
      <c r="AI908" s="139"/>
    </row>
    <row r="909" spans="34:35" x14ac:dyDescent="0.25">
      <c r="AH909" s="139"/>
      <c r="AI909" s="139"/>
    </row>
    <row r="910" spans="34:35" x14ac:dyDescent="0.25">
      <c r="AH910" s="139"/>
      <c r="AI910" s="139"/>
    </row>
    <row r="911" spans="34:35" x14ac:dyDescent="0.25">
      <c r="AH911" s="139"/>
      <c r="AI911" s="139"/>
    </row>
    <row r="912" spans="34:35" x14ac:dyDescent="0.25">
      <c r="AH912" s="139"/>
      <c r="AI912" s="139"/>
    </row>
    <row r="913" spans="34:35" x14ac:dyDescent="0.25">
      <c r="AH913" s="139"/>
      <c r="AI913" s="139"/>
    </row>
    <row r="914" spans="34:35" x14ac:dyDescent="0.25">
      <c r="AH914" s="139"/>
      <c r="AI914" s="139"/>
    </row>
    <row r="915" spans="34:35" x14ac:dyDescent="0.25">
      <c r="AH915" s="139"/>
      <c r="AI915" s="139"/>
    </row>
    <row r="916" spans="34:35" x14ac:dyDescent="0.25">
      <c r="AH916" s="139"/>
      <c r="AI916" s="139"/>
    </row>
    <row r="917" spans="34:35" x14ac:dyDescent="0.25">
      <c r="AH917" s="139"/>
      <c r="AI917" s="139"/>
    </row>
    <row r="918" spans="34:35" x14ac:dyDescent="0.25">
      <c r="AH918" s="139"/>
      <c r="AI918" s="139"/>
    </row>
    <row r="919" spans="34:35" x14ac:dyDescent="0.25">
      <c r="AH919" s="139"/>
      <c r="AI919" s="139"/>
    </row>
    <row r="920" spans="34:35" x14ac:dyDescent="0.25">
      <c r="AH920" s="139"/>
      <c r="AI920" s="139"/>
    </row>
    <row r="921" spans="34:35" x14ac:dyDescent="0.25">
      <c r="AH921" s="139"/>
      <c r="AI921" s="139"/>
    </row>
    <row r="922" spans="34:35" x14ac:dyDescent="0.25">
      <c r="AH922" s="139"/>
      <c r="AI922" s="139"/>
    </row>
    <row r="923" spans="34:35" x14ac:dyDescent="0.25">
      <c r="AH923" s="139"/>
      <c r="AI923" s="139"/>
    </row>
    <row r="924" spans="34:35" x14ac:dyDescent="0.25">
      <c r="AH924" s="139"/>
      <c r="AI924" s="139"/>
    </row>
    <row r="925" spans="34:35" x14ac:dyDescent="0.25">
      <c r="AH925" s="139"/>
      <c r="AI925" s="139"/>
    </row>
    <row r="926" spans="34:35" x14ac:dyDescent="0.25">
      <c r="AH926" s="139"/>
      <c r="AI926" s="139"/>
    </row>
    <row r="927" spans="34:35" x14ac:dyDescent="0.25">
      <c r="AH927" s="139"/>
      <c r="AI927" s="139"/>
    </row>
    <row r="928" spans="34:35" x14ac:dyDescent="0.25">
      <c r="AH928" s="139"/>
      <c r="AI928" s="139"/>
    </row>
    <row r="929" spans="34:35" x14ac:dyDescent="0.25">
      <c r="AH929" s="139"/>
      <c r="AI929" s="139"/>
    </row>
    <row r="930" spans="34:35" x14ac:dyDescent="0.25">
      <c r="AH930" s="139"/>
      <c r="AI930" s="139"/>
    </row>
    <row r="931" spans="34:35" x14ac:dyDescent="0.25">
      <c r="AH931" s="139"/>
      <c r="AI931" s="139"/>
    </row>
    <row r="932" spans="34:35" x14ac:dyDescent="0.25">
      <c r="AH932" s="139"/>
      <c r="AI932" s="139"/>
    </row>
    <row r="933" spans="34:35" x14ac:dyDescent="0.25">
      <c r="AH933" s="139"/>
      <c r="AI933" s="139"/>
    </row>
    <row r="934" spans="34:35" x14ac:dyDescent="0.25">
      <c r="AH934" s="139"/>
      <c r="AI934" s="139"/>
    </row>
    <row r="935" spans="34:35" x14ac:dyDescent="0.25">
      <c r="AH935" s="139"/>
      <c r="AI935" s="139"/>
    </row>
    <row r="936" spans="34:35" x14ac:dyDescent="0.25">
      <c r="AH936" s="139"/>
      <c r="AI936" s="139"/>
    </row>
    <row r="937" spans="34:35" x14ac:dyDescent="0.25">
      <c r="AH937" s="139"/>
      <c r="AI937" s="139"/>
    </row>
    <row r="938" spans="34:35" x14ac:dyDescent="0.25">
      <c r="AH938" s="139"/>
      <c r="AI938" s="139"/>
    </row>
    <row r="939" spans="34:35" x14ac:dyDescent="0.25">
      <c r="AH939" s="139"/>
      <c r="AI939" s="139"/>
    </row>
    <row r="940" spans="34:35" x14ac:dyDescent="0.25">
      <c r="AH940" s="139"/>
      <c r="AI940" s="139"/>
    </row>
    <row r="941" spans="34:35" x14ac:dyDescent="0.25">
      <c r="AH941" s="139"/>
      <c r="AI941" s="139"/>
    </row>
    <row r="942" spans="34:35" x14ac:dyDescent="0.25">
      <c r="AH942" s="139"/>
      <c r="AI942" s="139"/>
    </row>
    <row r="943" spans="34:35" x14ac:dyDescent="0.25">
      <c r="AH943" s="139"/>
      <c r="AI943" s="139"/>
    </row>
    <row r="944" spans="34:35" x14ac:dyDescent="0.25">
      <c r="AH944" s="139"/>
      <c r="AI944" s="139"/>
    </row>
    <row r="945" spans="34:35" x14ac:dyDescent="0.25">
      <c r="AH945" s="139"/>
      <c r="AI945" s="139"/>
    </row>
    <row r="946" spans="34:35" x14ac:dyDescent="0.25">
      <c r="AH946" s="139"/>
      <c r="AI946" s="139"/>
    </row>
    <row r="947" spans="34:35" x14ac:dyDescent="0.25">
      <c r="AH947" s="139"/>
      <c r="AI947" s="139"/>
    </row>
    <row r="948" spans="34:35" x14ac:dyDescent="0.25">
      <c r="AH948" s="139"/>
      <c r="AI948" s="139"/>
    </row>
    <row r="949" spans="34:35" x14ac:dyDescent="0.25">
      <c r="AH949" s="139"/>
      <c r="AI949" s="139"/>
    </row>
    <row r="950" spans="34:35" x14ac:dyDescent="0.25">
      <c r="AH950" s="139"/>
      <c r="AI950" s="139"/>
    </row>
    <row r="951" spans="34:35" x14ac:dyDescent="0.25">
      <c r="AH951" s="139"/>
      <c r="AI951" s="139"/>
    </row>
    <row r="952" spans="34:35" x14ac:dyDescent="0.25">
      <c r="AH952" s="139"/>
      <c r="AI952" s="139"/>
    </row>
    <row r="953" spans="34:35" x14ac:dyDescent="0.25">
      <c r="AH953" s="139"/>
      <c r="AI953" s="139"/>
    </row>
    <row r="954" spans="34:35" x14ac:dyDescent="0.25">
      <c r="AH954" s="139"/>
      <c r="AI954" s="139"/>
    </row>
    <row r="955" spans="34:35" x14ac:dyDescent="0.25">
      <c r="AH955" s="139"/>
      <c r="AI955" s="139"/>
    </row>
    <row r="956" spans="34:35" x14ac:dyDescent="0.25">
      <c r="AH956" s="139"/>
      <c r="AI956" s="139"/>
    </row>
    <row r="957" spans="34:35" x14ac:dyDescent="0.25">
      <c r="AH957" s="139"/>
      <c r="AI957" s="139"/>
    </row>
    <row r="958" spans="34:35" x14ac:dyDescent="0.25">
      <c r="AH958" s="139"/>
      <c r="AI958" s="139"/>
    </row>
    <row r="959" spans="34:35" x14ac:dyDescent="0.25">
      <c r="AH959" s="139"/>
      <c r="AI959" s="139"/>
    </row>
    <row r="960" spans="34:35" x14ac:dyDescent="0.25">
      <c r="AH960" s="139"/>
      <c r="AI960" s="139"/>
    </row>
    <row r="961" spans="34:35" x14ac:dyDescent="0.25">
      <c r="AH961" s="139"/>
      <c r="AI961" s="139"/>
    </row>
    <row r="962" spans="34:35" x14ac:dyDescent="0.25">
      <c r="AH962" s="139"/>
      <c r="AI962" s="139"/>
    </row>
    <row r="963" spans="34:35" x14ac:dyDescent="0.25">
      <c r="AH963" s="139"/>
      <c r="AI963" s="139"/>
    </row>
    <row r="964" spans="34:35" x14ac:dyDescent="0.25">
      <c r="AH964" s="139"/>
      <c r="AI964" s="139"/>
    </row>
    <row r="965" spans="34:35" x14ac:dyDescent="0.25">
      <c r="AH965" s="139"/>
      <c r="AI965" s="139"/>
    </row>
    <row r="966" spans="34:35" x14ac:dyDescent="0.25">
      <c r="AH966" s="139"/>
      <c r="AI966" s="139"/>
    </row>
    <row r="967" spans="34:35" x14ac:dyDescent="0.25">
      <c r="AH967" s="139"/>
      <c r="AI967" s="139"/>
    </row>
    <row r="968" spans="34:35" x14ac:dyDescent="0.25">
      <c r="AH968" s="139"/>
      <c r="AI968" s="139"/>
    </row>
    <row r="969" spans="34:35" x14ac:dyDescent="0.25">
      <c r="AH969" s="139"/>
      <c r="AI969" s="139"/>
    </row>
    <row r="970" spans="34:35" x14ac:dyDescent="0.25">
      <c r="AH970" s="139"/>
      <c r="AI970" s="139"/>
    </row>
    <row r="971" spans="34:35" x14ac:dyDescent="0.25">
      <c r="AH971" s="139"/>
      <c r="AI971" s="139"/>
    </row>
    <row r="972" spans="34:35" x14ac:dyDescent="0.25">
      <c r="AH972" s="139"/>
      <c r="AI972" s="139"/>
    </row>
    <row r="973" spans="34:35" x14ac:dyDescent="0.25">
      <c r="AH973" s="139"/>
      <c r="AI973" s="139"/>
    </row>
    <row r="974" spans="34:35" x14ac:dyDescent="0.25">
      <c r="AH974" s="139"/>
      <c r="AI974" s="139"/>
    </row>
    <row r="975" spans="34:35" x14ac:dyDescent="0.25">
      <c r="AH975" s="139"/>
      <c r="AI975" s="139"/>
    </row>
    <row r="976" spans="34:35" x14ac:dyDescent="0.25">
      <c r="AH976" s="139"/>
      <c r="AI976" s="139"/>
    </row>
    <row r="977" spans="34:35" x14ac:dyDescent="0.25">
      <c r="AH977" s="139"/>
      <c r="AI977" s="139"/>
    </row>
    <row r="978" spans="34:35" x14ac:dyDescent="0.25">
      <c r="AH978" s="139"/>
      <c r="AI978" s="139"/>
    </row>
    <row r="979" spans="34:35" x14ac:dyDescent="0.25">
      <c r="AH979" s="139"/>
      <c r="AI979" s="139"/>
    </row>
    <row r="980" spans="34:35" x14ac:dyDescent="0.25">
      <c r="AH980" s="139"/>
      <c r="AI980" s="139"/>
    </row>
    <row r="981" spans="34:35" x14ac:dyDescent="0.25">
      <c r="AH981" s="139"/>
      <c r="AI981" s="139"/>
    </row>
    <row r="982" spans="34:35" x14ac:dyDescent="0.25">
      <c r="AH982" s="139"/>
      <c r="AI982" s="139"/>
    </row>
    <row r="983" spans="34:35" x14ac:dyDescent="0.25">
      <c r="AH983" s="139"/>
      <c r="AI983" s="139"/>
    </row>
    <row r="984" spans="34:35" x14ac:dyDescent="0.25">
      <c r="AH984" s="139"/>
      <c r="AI984" s="139"/>
    </row>
    <row r="985" spans="34:35" x14ac:dyDescent="0.25">
      <c r="AH985" s="139"/>
      <c r="AI985" s="139"/>
    </row>
    <row r="986" spans="34:35" x14ac:dyDescent="0.25">
      <c r="AH986" s="139"/>
      <c r="AI986" s="139"/>
    </row>
    <row r="987" spans="34:35" x14ac:dyDescent="0.25">
      <c r="AH987" s="139"/>
      <c r="AI987" s="139"/>
    </row>
    <row r="988" spans="34:35" x14ac:dyDescent="0.25">
      <c r="AH988" s="139"/>
      <c r="AI988" s="139"/>
    </row>
    <row r="989" spans="34:35" x14ac:dyDescent="0.25">
      <c r="AH989" s="139"/>
      <c r="AI989" s="139"/>
    </row>
    <row r="990" spans="34:35" x14ac:dyDescent="0.25">
      <c r="AH990" s="139"/>
      <c r="AI990" s="139"/>
    </row>
    <row r="991" spans="34:35" x14ac:dyDescent="0.25">
      <c r="AH991" s="139"/>
      <c r="AI991" s="139"/>
    </row>
    <row r="992" spans="34:35" x14ac:dyDescent="0.25">
      <c r="AH992" s="139"/>
      <c r="AI992" s="139"/>
    </row>
    <row r="993" spans="34:35" x14ac:dyDescent="0.25">
      <c r="AH993" s="139"/>
      <c r="AI993" s="139"/>
    </row>
    <row r="994" spans="34:35" x14ac:dyDescent="0.25">
      <c r="AH994" s="139"/>
      <c r="AI994" s="139"/>
    </row>
    <row r="995" spans="34:35" x14ac:dyDescent="0.25">
      <c r="AH995" s="139"/>
      <c r="AI995" s="139"/>
    </row>
    <row r="996" spans="34:35" x14ac:dyDescent="0.25">
      <c r="AH996" s="139"/>
      <c r="AI996" s="139"/>
    </row>
    <row r="997" spans="34:35" x14ac:dyDescent="0.25">
      <c r="AH997" s="139"/>
      <c r="AI997" s="139"/>
    </row>
    <row r="998" spans="34:35" x14ac:dyDescent="0.25">
      <c r="AH998" s="139"/>
      <c r="AI998" s="139"/>
    </row>
    <row r="999" spans="34:35" x14ac:dyDescent="0.25">
      <c r="AH999" s="139"/>
      <c r="AI999" s="139"/>
    </row>
    <row r="1000" spans="34:35" x14ac:dyDescent="0.25">
      <c r="AH1000" s="139"/>
      <c r="AI1000" s="139"/>
    </row>
    <row r="1001" spans="34:35" x14ac:dyDescent="0.25">
      <c r="AH1001" s="139"/>
      <c r="AI1001" s="139"/>
    </row>
    <row r="1002" spans="34:35" x14ac:dyDescent="0.25">
      <c r="AH1002" s="139"/>
      <c r="AI1002" s="139"/>
    </row>
    <row r="1003" spans="34:35" x14ac:dyDescent="0.25">
      <c r="AH1003" s="139"/>
      <c r="AI1003" s="139"/>
    </row>
    <row r="1004" spans="34:35" x14ac:dyDescent="0.25">
      <c r="AH1004" s="139"/>
      <c r="AI1004" s="139"/>
    </row>
    <row r="1005" spans="34:35" x14ac:dyDescent="0.25">
      <c r="AH1005" s="139"/>
      <c r="AI1005" s="139"/>
    </row>
    <row r="1006" spans="34:35" x14ac:dyDescent="0.25">
      <c r="AH1006" s="139"/>
      <c r="AI1006" s="139"/>
    </row>
    <row r="1007" spans="34:35" x14ac:dyDescent="0.25">
      <c r="AH1007" s="139"/>
      <c r="AI1007" s="139"/>
    </row>
    <row r="1008" spans="34:35" x14ac:dyDescent="0.25">
      <c r="AH1008" s="139"/>
      <c r="AI1008" s="139"/>
    </row>
    <row r="1009" spans="34:35" x14ac:dyDescent="0.25">
      <c r="AH1009" s="139"/>
      <c r="AI1009" s="139"/>
    </row>
    <row r="1010" spans="34:35" x14ac:dyDescent="0.25">
      <c r="AH1010" s="139"/>
      <c r="AI1010" s="139"/>
    </row>
    <row r="1011" spans="34:35" x14ac:dyDescent="0.25">
      <c r="AH1011" s="139"/>
      <c r="AI1011" s="139"/>
    </row>
    <row r="1012" spans="34:35" x14ac:dyDescent="0.25">
      <c r="AH1012" s="139"/>
      <c r="AI1012" s="139"/>
    </row>
    <row r="1013" spans="34:35" x14ac:dyDescent="0.25">
      <c r="AH1013" s="139"/>
      <c r="AI1013" s="139"/>
    </row>
    <row r="1014" spans="34:35" x14ac:dyDescent="0.25">
      <c r="AH1014" s="139"/>
      <c r="AI1014" s="139"/>
    </row>
    <row r="1015" spans="34:35" x14ac:dyDescent="0.25">
      <c r="AH1015" s="139"/>
      <c r="AI1015" s="139"/>
    </row>
    <row r="1016" spans="34:35" x14ac:dyDescent="0.25">
      <c r="AH1016" s="139"/>
      <c r="AI1016" s="139"/>
    </row>
    <row r="1017" spans="34:35" x14ac:dyDescent="0.25">
      <c r="AH1017" s="139"/>
      <c r="AI1017" s="139"/>
    </row>
    <row r="1018" spans="34:35" x14ac:dyDescent="0.25">
      <c r="AH1018" s="139"/>
      <c r="AI1018" s="139"/>
    </row>
    <row r="1019" spans="34:35" x14ac:dyDescent="0.25">
      <c r="AH1019" s="139"/>
      <c r="AI1019" s="139"/>
    </row>
    <row r="1020" spans="34:35" x14ac:dyDescent="0.25">
      <c r="AH1020" s="139"/>
      <c r="AI1020" s="139"/>
    </row>
    <row r="1021" spans="34:35" x14ac:dyDescent="0.25">
      <c r="AH1021" s="139"/>
      <c r="AI1021" s="139"/>
    </row>
    <row r="1022" spans="34:35" x14ac:dyDescent="0.25">
      <c r="AH1022" s="139"/>
      <c r="AI1022" s="139"/>
    </row>
    <row r="1023" spans="34:35" x14ac:dyDescent="0.25">
      <c r="AH1023" s="139"/>
      <c r="AI1023" s="139"/>
    </row>
    <row r="1024" spans="34:35" x14ac:dyDescent="0.25">
      <c r="AH1024" s="139"/>
      <c r="AI1024" s="139"/>
    </row>
    <row r="1025" spans="34:35" x14ac:dyDescent="0.25">
      <c r="AH1025" s="139"/>
      <c r="AI1025" s="139"/>
    </row>
    <row r="1026" spans="34:35" x14ac:dyDescent="0.25">
      <c r="AH1026" s="139"/>
      <c r="AI1026" s="139"/>
    </row>
    <row r="1027" spans="34:35" x14ac:dyDescent="0.25">
      <c r="AH1027" s="139"/>
      <c r="AI1027" s="139"/>
    </row>
    <row r="1028" spans="34:35" x14ac:dyDescent="0.25">
      <c r="AH1028" s="139"/>
      <c r="AI1028" s="139"/>
    </row>
    <row r="1029" spans="34:35" x14ac:dyDescent="0.25">
      <c r="AH1029" s="139"/>
      <c r="AI1029" s="139"/>
    </row>
    <row r="1030" spans="34:35" x14ac:dyDescent="0.25">
      <c r="AH1030" s="139"/>
      <c r="AI1030" s="139"/>
    </row>
    <row r="1031" spans="34:35" x14ac:dyDescent="0.25">
      <c r="AH1031" s="139"/>
      <c r="AI1031" s="139"/>
    </row>
    <row r="1032" spans="34:35" x14ac:dyDescent="0.25">
      <c r="AH1032" s="139"/>
      <c r="AI1032" s="139"/>
    </row>
    <row r="1033" spans="34:35" x14ac:dyDescent="0.25">
      <c r="AH1033" s="139"/>
      <c r="AI1033" s="139"/>
    </row>
    <row r="1034" spans="34:35" x14ac:dyDescent="0.25">
      <c r="AH1034" s="139"/>
      <c r="AI1034" s="139"/>
    </row>
    <row r="1035" spans="34:35" x14ac:dyDescent="0.25">
      <c r="AH1035" s="139"/>
      <c r="AI1035" s="139"/>
    </row>
    <row r="1036" spans="34:35" x14ac:dyDescent="0.25">
      <c r="AH1036" s="139"/>
      <c r="AI1036" s="139"/>
    </row>
    <row r="1037" spans="34:35" x14ac:dyDescent="0.25">
      <c r="AH1037" s="139"/>
      <c r="AI1037" s="139"/>
    </row>
    <row r="1038" spans="34:35" x14ac:dyDescent="0.25">
      <c r="AH1038" s="139"/>
      <c r="AI1038" s="139"/>
    </row>
    <row r="1039" spans="34:35" x14ac:dyDescent="0.25">
      <c r="AH1039" s="139"/>
      <c r="AI1039" s="139"/>
    </row>
    <row r="1040" spans="34:35" x14ac:dyDescent="0.25">
      <c r="AH1040" s="139"/>
      <c r="AI1040" s="139"/>
    </row>
    <row r="1041" spans="34:35" x14ac:dyDescent="0.25">
      <c r="AH1041" s="139"/>
      <c r="AI1041" s="139"/>
    </row>
    <row r="1042" spans="34:35" x14ac:dyDescent="0.25">
      <c r="AH1042" s="139"/>
      <c r="AI1042" s="139"/>
    </row>
    <row r="1043" spans="34:35" x14ac:dyDescent="0.25">
      <c r="AH1043" s="139"/>
      <c r="AI1043" s="139"/>
    </row>
    <row r="1044" spans="34:35" x14ac:dyDescent="0.25">
      <c r="AH1044" s="139"/>
      <c r="AI1044" s="139"/>
    </row>
    <row r="1045" spans="34:35" x14ac:dyDescent="0.25">
      <c r="AH1045" s="139"/>
      <c r="AI1045" s="139"/>
    </row>
    <row r="1046" spans="34:35" x14ac:dyDescent="0.25">
      <c r="AH1046" s="139"/>
      <c r="AI1046" s="139"/>
    </row>
    <row r="1047" spans="34:35" x14ac:dyDescent="0.25">
      <c r="AH1047" s="139"/>
      <c r="AI1047" s="139"/>
    </row>
    <row r="1048" spans="34:35" x14ac:dyDescent="0.25">
      <c r="AH1048" s="139"/>
      <c r="AI1048" s="139"/>
    </row>
    <row r="1049" spans="34:35" x14ac:dyDescent="0.25">
      <c r="AH1049" s="139"/>
      <c r="AI1049" s="139"/>
    </row>
    <row r="1050" spans="34:35" x14ac:dyDescent="0.25">
      <c r="AH1050" s="139"/>
      <c r="AI1050" s="139"/>
    </row>
    <row r="1051" spans="34:35" x14ac:dyDescent="0.25">
      <c r="AH1051" s="139"/>
      <c r="AI1051" s="139"/>
    </row>
    <row r="1052" spans="34:35" x14ac:dyDescent="0.25">
      <c r="AH1052" s="139"/>
      <c r="AI1052" s="139"/>
    </row>
    <row r="1053" spans="34:35" x14ac:dyDescent="0.25">
      <c r="AH1053" s="139"/>
      <c r="AI1053" s="139"/>
    </row>
    <row r="1054" spans="34:35" x14ac:dyDescent="0.25">
      <c r="AH1054" s="139"/>
      <c r="AI1054" s="139"/>
    </row>
    <row r="1055" spans="34:35" x14ac:dyDescent="0.25">
      <c r="AH1055" s="139"/>
      <c r="AI1055" s="139"/>
    </row>
    <row r="1056" spans="34:35" x14ac:dyDescent="0.25">
      <c r="AH1056" s="139"/>
      <c r="AI1056" s="139"/>
    </row>
    <row r="1057" spans="34:35" x14ac:dyDescent="0.25">
      <c r="AH1057" s="139"/>
      <c r="AI1057" s="139"/>
    </row>
    <row r="1058" spans="34:35" x14ac:dyDescent="0.25">
      <c r="AH1058" s="139"/>
      <c r="AI1058" s="139"/>
    </row>
    <row r="1059" spans="34:35" x14ac:dyDescent="0.25">
      <c r="AH1059" s="139"/>
      <c r="AI1059" s="139"/>
    </row>
    <row r="1060" spans="34:35" x14ac:dyDescent="0.25">
      <c r="AH1060" s="139"/>
      <c r="AI1060" s="139"/>
    </row>
    <row r="1061" spans="34:35" x14ac:dyDescent="0.25">
      <c r="AH1061" s="139"/>
      <c r="AI1061" s="139"/>
    </row>
    <row r="1062" spans="34:35" x14ac:dyDescent="0.25">
      <c r="AH1062" s="139"/>
      <c r="AI1062" s="139"/>
    </row>
    <row r="1063" spans="34:35" x14ac:dyDescent="0.25">
      <c r="AH1063" s="139"/>
      <c r="AI1063" s="139"/>
    </row>
    <row r="1064" spans="34:35" x14ac:dyDescent="0.25">
      <c r="AH1064" s="139"/>
      <c r="AI1064" s="139"/>
    </row>
    <row r="1065" spans="34:35" x14ac:dyDescent="0.25">
      <c r="AH1065" s="139"/>
      <c r="AI1065" s="139"/>
    </row>
    <row r="1066" spans="34:35" x14ac:dyDescent="0.25">
      <c r="AH1066" s="139"/>
      <c r="AI1066" s="139"/>
    </row>
    <row r="1067" spans="34:35" x14ac:dyDescent="0.25">
      <c r="AH1067" s="139"/>
      <c r="AI1067" s="139"/>
    </row>
    <row r="1068" spans="34:35" x14ac:dyDescent="0.25">
      <c r="AH1068" s="139"/>
      <c r="AI1068" s="139"/>
    </row>
    <row r="1069" spans="34:35" x14ac:dyDescent="0.25">
      <c r="AH1069" s="139"/>
      <c r="AI1069" s="139"/>
    </row>
    <row r="1070" spans="34:35" x14ac:dyDescent="0.25">
      <c r="AH1070" s="139"/>
      <c r="AI1070" s="139"/>
    </row>
    <row r="1071" spans="34:35" x14ac:dyDescent="0.25">
      <c r="AH1071" s="139"/>
      <c r="AI1071" s="139"/>
    </row>
    <row r="1072" spans="34:35" x14ac:dyDescent="0.25">
      <c r="AH1072" s="139"/>
      <c r="AI1072" s="139"/>
    </row>
    <row r="1073" spans="34:35" x14ac:dyDescent="0.25">
      <c r="AH1073" s="139"/>
      <c r="AI1073" s="139"/>
    </row>
    <row r="1074" spans="34:35" x14ac:dyDescent="0.25">
      <c r="AH1074" s="139"/>
      <c r="AI1074" s="139"/>
    </row>
    <row r="1075" spans="34:35" x14ac:dyDescent="0.25">
      <c r="AH1075" s="139"/>
      <c r="AI1075" s="139"/>
    </row>
    <row r="1076" spans="34:35" x14ac:dyDescent="0.25">
      <c r="AH1076" s="139"/>
      <c r="AI1076" s="139"/>
    </row>
    <row r="1077" spans="34:35" x14ac:dyDescent="0.25">
      <c r="AH1077" s="139"/>
      <c r="AI1077" s="139"/>
    </row>
    <row r="1078" spans="34:35" x14ac:dyDescent="0.25">
      <c r="AH1078" s="139"/>
      <c r="AI1078" s="139"/>
    </row>
    <row r="1079" spans="34:35" x14ac:dyDescent="0.25">
      <c r="AH1079" s="139"/>
      <c r="AI1079" s="139"/>
    </row>
    <row r="1080" spans="34:35" x14ac:dyDescent="0.25">
      <c r="AH1080" s="139"/>
      <c r="AI1080" s="139"/>
    </row>
    <row r="1081" spans="34:35" x14ac:dyDescent="0.25">
      <c r="AH1081" s="139"/>
      <c r="AI1081" s="139"/>
    </row>
    <row r="1082" spans="34:35" x14ac:dyDescent="0.25">
      <c r="AH1082" s="139"/>
      <c r="AI1082" s="139"/>
    </row>
    <row r="1083" spans="34:35" x14ac:dyDescent="0.25">
      <c r="AH1083" s="139"/>
      <c r="AI1083" s="139"/>
    </row>
    <row r="1084" spans="34:35" x14ac:dyDescent="0.25">
      <c r="AH1084" s="139"/>
      <c r="AI1084" s="139"/>
    </row>
    <row r="1085" spans="34:35" x14ac:dyDescent="0.25">
      <c r="AH1085" s="139"/>
      <c r="AI1085" s="139"/>
    </row>
    <row r="1086" spans="34:35" x14ac:dyDescent="0.25">
      <c r="AH1086" s="139"/>
      <c r="AI1086" s="139"/>
    </row>
    <row r="1087" spans="34:35" x14ac:dyDescent="0.25">
      <c r="AH1087" s="139"/>
      <c r="AI1087" s="139"/>
    </row>
    <row r="1088" spans="34:35" x14ac:dyDescent="0.25">
      <c r="AH1088" s="139"/>
      <c r="AI1088" s="139"/>
    </row>
    <row r="1089" spans="34:35" x14ac:dyDescent="0.25">
      <c r="AH1089" s="139"/>
      <c r="AI1089" s="139"/>
    </row>
    <row r="1090" spans="34:35" x14ac:dyDescent="0.25">
      <c r="AH1090" s="139"/>
      <c r="AI1090" s="139"/>
    </row>
    <row r="1091" spans="34:35" x14ac:dyDescent="0.25">
      <c r="AH1091" s="139"/>
      <c r="AI1091" s="139"/>
    </row>
    <row r="1092" spans="34:35" x14ac:dyDescent="0.25">
      <c r="AH1092" s="139"/>
      <c r="AI1092" s="139"/>
    </row>
    <row r="1093" spans="34:35" x14ac:dyDescent="0.25">
      <c r="AH1093" s="139"/>
      <c r="AI1093" s="139"/>
    </row>
    <row r="1094" spans="34:35" x14ac:dyDescent="0.25">
      <c r="AH1094" s="139"/>
      <c r="AI1094" s="139"/>
    </row>
    <row r="1095" spans="34:35" x14ac:dyDescent="0.25">
      <c r="AH1095" s="139"/>
      <c r="AI1095" s="139"/>
    </row>
    <row r="1096" spans="34:35" x14ac:dyDescent="0.25">
      <c r="AH1096" s="139"/>
      <c r="AI1096" s="139"/>
    </row>
    <row r="1097" spans="34:35" x14ac:dyDescent="0.25">
      <c r="AH1097" s="139"/>
      <c r="AI1097" s="139"/>
    </row>
    <row r="1098" spans="34:35" x14ac:dyDescent="0.25">
      <c r="AH1098" s="139"/>
      <c r="AI1098" s="139"/>
    </row>
    <row r="1099" spans="34:35" x14ac:dyDescent="0.25">
      <c r="AH1099" s="139"/>
      <c r="AI1099" s="139"/>
    </row>
    <row r="1100" spans="34:35" x14ac:dyDescent="0.25">
      <c r="AH1100" s="139"/>
      <c r="AI1100" s="139"/>
    </row>
    <row r="1101" spans="34:35" x14ac:dyDescent="0.25">
      <c r="AH1101" s="139"/>
      <c r="AI1101" s="139"/>
    </row>
    <row r="1102" spans="34:35" x14ac:dyDescent="0.25">
      <c r="AH1102" s="139"/>
      <c r="AI1102" s="139"/>
    </row>
    <row r="1103" spans="34:35" x14ac:dyDescent="0.25">
      <c r="AH1103" s="139"/>
      <c r="AI1103" s="139"/>
    </row>
    <row r="1104" spans="34:35" x14ac:dyDescent="0.25">
      <c r="AH1104" s="139"/>
      <c r="AI1104" s="139"/>
    </row>
    <row r="1105" spans="34:35" x14ac:dyDescent="0.25">
      <c r="AH1105" s="139"/>
      <c r="AI1105" s="139"/>
    </row>
    <row r="1106" spans="34:35" x14ac:dyDescent="0.25">
      <c r="AH1106" s="139"/>
      <c r="AI1106" s="139"/>
    </row>
    <row r="1107" spans="34:35" x14ac:dyDescent="0.25">
      <c r="AH1107" s="139"/>
      <c r="AI1107" s="139"/>
    </row>
    <row r="1108" spans="34:35" x14ac:dyDescent="0.25">
      <c r="AH1108" s="139"/>
      <c r="AI1108" s="139"/>
    </row>
    <row r="1109" spans="34:35" x14ac:dyDescent="0.25">
      <c r="AH1109" s="139"/>
      <c r="AI1109" s="139"/>
    </row>
    <row r="1110" spans="34:35" x14ac:dyDescent="0.25">
      <c r="AH1110" s="139"/>
      <c r="AI1110" s="139"/>
    </row>
    <row r="1111" spans="34:35" x14ac:dyDescent="0.25">
      <c r="AH1111" s="139"/>
      <c r="AI1111" s="139"/>
    </row>
    <row r="1112" spans="34:35" x14ac:dyDescent="0.25">
      <c r="AH1112" s="139"/>
      <c r="AI1112" s="139"/>
    </row>
    <row r="1113" spans="34:35" x14ac:dyDescent="0.25">
      <c r="AH1113" s="139"/>
      <c r="AI1113" s="139"/>
    </row>
    <row r="1114" spans="34:35" x14ac:dyDescent="0.25">
      <c r="AH1114" s="139"/>
      <c r="AI1114" s="139"/>
    </row>
    <row r="1115" spans="34:35" x14ac:dyDescent="0.25">
      <c r="AH1115" s="139"/>
      <c r="AI1115" s="139"/>
    </row>
    <row r="1116" spans="34:35" x14ac:dyDescent="0.25">
      <c r="AH1116" s="139"/>
      <c r="AI1116" s="139"/>
    </row>
    <row r="1117" spans="34:35" x14ac:dyDescent="0.25">
      <c r="AH1117" s="139"/>
      <c r="AI1117" s="139"/>
    </row>
    <row r="1118" spans="34:35" x14ac:dyDescent="0.25">
      <c r="AH1118" s="139"/>
      <c r="AI1118" s="139"/>
    </row>
    <row r="1119" spans="34:35" x14ac:dyDescent="0.25">
      <c r="AH1119" s="139"/>
      <c r="AI1119" s="139"/>
    </row>
    <row r="1120" spans="34:35" x14ac:dyDescent="0.25">
      <c r="AH1120" s="139"/>
      <c r="AI1120" s="139"/>
    </row>
    <row r="1121" spans="34:35" x14ac:dyDescent="0.25">
      <c r="AH1121" s="139"/>
      <c r="AI1121" s="139"/>
    </row>
    <row r="1122" spans="34:35" x14ac:dyDescent="0.25">
      <c r="AH1122" s="139"/>
      <c r="AI1122" s="139"/>
    </row>
    <row r="1123" spans="34:35" x14ac:dyDescent="0.25">
      <c r="AH1123" s="139"/>
      <c r="AI1123" s="139"/>
    </row>
    <row r="1124" spans="34:35" x14ac:dyDescent="0.25">
      <c r="AH1124" s="139"/>
      <c r="AI1124" s="139"/>
    </row>
    <row r="1125" spans="34:35" x14ac:dyDescent="0.25">
      <c r="AH1125" s="139"/>
      <c r="AI1125" s="139"/>
    </row>
    <row r="1126" spans="34:35" x14ac:dyDescent="0.25">
      <c r="AH1126" s="139"/>
      <c r="AI1126" s="139"/>
    </row>
    <row r="1127" spans="34:35" x14ac:dyDescent="0.25">
      <c r="AH1127" s="139"/>
      <c r="AI1127" s="139"/>
    </row>
    <row r="1128" spans="34:35" x14ac:dyDescent="0.25">
      <c r="AH1128" s="139"/>
      <c r="AI1128" s="139"/>
    </row>
    <row r="1129" spans="34:35" x14ac:dyDescent="0.25">
      <c r="AH1129" s="139"/>
      <c r="AI1129" s="139"/>
    </row>
    <row r="1130" spans="34:35" x14ac:dyDescent="0.25">
      <c r="AH1130" s="139"/>
      <c r="AI1130" s="139"/>
    </row>
  </sheetData>
  <mergeCells count="2">
    <mergeCell ref="AB1:AD1"/>
    <mergeCell ref="AF1:AJ1"/>
  </mergeCells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E8683-5610-4CFF-A1B4-AE112F0179D3}">
  <sheetPr codeName="Sheet2"/>
  <dimension ref="A1:G85"/>
  <sheetViews>
    <sheetView workbookViewId="0"/>
  </sheetViews>
  <sheetFormatPr defaultRowHeight="15.75" x14ac:dyDescent="0.25"/>
  <cols>
    <col min="1" max="1" width="12.77734375" style="16" bestFit="1" customWidth="1"/>
    <col min="2" max="2" width="17.109375" style="16" customWidth="1"/>
    <col min="3" max="3" width="67.21875" style="16" hidden="1" customWidth="1"/>
    <col min="4" max="4" width="49.109375" style="16" bestFit="1" customWidth="1"/>
    <col min="5" max="5" width="15.5546875" style="16" customWidth="1"/>
    <col min="6" max="6" width="17" style="16" customWidth="1"/>
    <col min="7" max="7" width="156.5546875" style="17" bestFit="1" customWidth="1"/>
    <col min="8" max="16384" width="8.88671875" style="17"/>
  </cols>
  <sheetData>
    <row r="1" spans="1:7" x14ac:dyDescent="0.25">
      <c r="G1" s="17" t="s">
        <v>642</v>
      </c>
    </row>
    <row r="2" spans="1:7" x14ac:dyDescent="0.25">
      <c r="G2" s="17" t="s">
        <v>643</v>
      </c>
    </row>
    <row r="3" spans="1:7" x14ac:dyDescent="0.25">
      <c r="G3" s="17" t="s">
        <v>644</v>
      </c>
    </row>
    <row r="4" spans="1:7" x14ac:dyDescent="0.25">
      <c r="G4" s="17" t="s">
        <v>645</v>
      </c>
    </row>
    <row r="5" spans="1:7" x14ac:dyDescent="0.25">
      <c r="G5" s="17" t="s">
        <v>646</v>
      </c>
    </row>
    <row r="6" spans="1:7" x14ac:dyDescent="0.25">
      <c r="G6" s="17" t="s">
        <v>647</v>
      </c>
    </row>
    <row r="7" spans="1:7" x14ac:dyDescent="0.25">
      <c r="G7" s="17" t="s">
        <v>648</v>
      </c>
    </row>
    <row r="8" spans="1:7" x14ac:dyDescent="0.25">
      <c r="G8" s="17" t="s">
        <v>649</v>
      </c>
    </row>
    <row r="9" spans="1:7" x14ac:dyDescent="0.25">
      <c r="G9" s="17" t="s">
        <v>650</v>
      </c>
    </row>
    <row r="10" spans="1:7" x14ac:dyDescent="0.25">
      <c r="B10" s="16" t="s">
        <v>651</v>
      </c>
      <c r="D10" s="16" t="s">
        <v>652</v>
      </c>
      <c r="E10" s="16" t="s">
        <v>653</v>
      </c>
      <c r="F10" s="16" t="s">
        <v>654</v>
      </c>
      <c r="G10" s="17" t="s">
        <v>655</v>
      </c>
    </row>
    <row r="11" spans="1:7" ht="18.75" x14ac:dyDescent="0.25">
      <c r="A11" s="18" t="s">
        <v>490</v>
      </c>
      <c r="B11" s="16" t="str">
        <f t="shared" ref="B11:B74" si="0">MID(G11,7,13)</f>
        <v>PB01050039654</v>
      </c>
      <c r="C11" s="16" t="str">
        <f t="shared" ref="C11:C74" si="1">MID(G11,23,64)</f>
        <v>CÔNG TY CỔ PHẦN PHÁT TRIỂN HẠ TẦNG KỸ THUẬT BECAMEX - BÌNH PHƯỚC</v>
      </c>
      <c r="D11" s="16" t="str">
        <f t="shared" ref="D11:D16" si="2">MID(G11,87,50)</f>
        <v>Đường D8/N1M Trụ 20B/32/4H- NR 191D/47301053542000</v>
      </c>
      <c r="E11" s="16" t="str">
        <f>MID(G11,137,10)</f>
        <v>1411185151</v>
      </c>
      <c r="F11" s="16" t="str">
        <f>RIGHT(G11,13)</f>
        <v>10/10/2024110</v>
      </c>
      <c r="G11" s="17" t="s">
        <v>656</v>
      </c>
    </row>
    <row r="12" spans="1:7" ht="18.75" x14ac:dyDescent="0.25">
      <c r="A12" s="18" t="s">
        <v>489</v>
      </c>
      <c r="B12" s="16" t="str">
        <f t="shared" si="0"/>
        <v>PB01050039653</v>
      </c>
      <c r="C12" s="16" t="str">
        <f t="shared" si="1"/>
        <v>CÔNG TY CỔ PHẦN PHÁT TRIỂN HẠ TẦNG KỸ THUẬT BECAMEX - BÌNH PHƯỚC</v>
      </c>
      <c r="D12" s="16" t="str">
        <f t="shared" si="2"/>
        <v>Đường D8/N1M Trụ 20B/32/4H- NR 191D/47301053542000</v>
      </c>
      <c r="E12" s="16" t="str">
        <f>MID(G12,137,10)</f>
        <v>1411185550</v>
      </c>
      <c r="F12" s="16" t="str">
        <f t="shared" ref="F12:F75" si="3">RIGHT(G12,13)</f>
        <v>10/10/2024110</v>
      </c>
      <c r="G12" s="17" t="s">
        <v>657</v>
      </c>
    </row>
    <row r="13" spans="1:7" ht="18.75" x14ac:dyDescent="0.25">
      <c r="A13" s="18" t="s">
        <v>488</v>
      </c>
      <c r="B13" s="16" t="str">
        <f t="shared" si="0"/>
        <v>PB01050039652</v>
      </c>
      <c r="C13" s="16" t="str">
        <f t="shared" si="1"/>
        <v>CÔNG TY CỔ PHẦN PHÁT TRIỂN HẠ TẦNG KỸ THUẬT BECAMEX - BÌNH PHƯỚC</v>
      </c>
      <c r="D13" s="16" t="str">
        <f t="shared" si="2"/>
        <v>Đường D8/N1M Trụ 20B/32/15H- NR 191D/4730105354200</v>
      </c>
      <c r="E13" s="16" t="str">
        <f>MID(G13,138,10)</f>
        <v>1411125857</v>
      </c>
      <c r="F13" s="16" t="str">
        <f t="shared" si="3"/>
        <v>16/09/2024110</v>
      </c>
      <c r="G13" s="17" t="s">
        <v>658</v>
      </c>
    </row>
    <row r="14" spans="1:7" ht="18.75" x14ac:dyDescent="0.25">
      <c r="A14" s="18" t="s">
        <v>487</v>
      </c>
      <c r="B14" s="16" t="str">
        <f t="shared" si="0"/>
        <v>PB01050039651</v>
      </c>
      <c r="C14" s="16" t="str">
        <f t="shared" si="1"/>
        <v>CÔNG TY CỔ PHẦN PHÁT TRIỂN HẠ TẦNG KỸ THUẬT BECAMEX - BÌNH PHƯỚC</v>
      </c>
      <c r="D14" s="16" t="str">
        <f t="shared" si="2"/>
        <v>Đường D8/N1M Trụ 20B/32/15H- NR 191D/4730105354200</v>
      </c>
      <c r="E14" s="16" t="str">
        <f>MID(G14,138,10)</f>
        <v>1411057056</v>
      </c>
      <c r="F14" s="16" t="str">
        <f t="shared" si="3"/>
        <v>16/09/2024110</v>
      </c>
      <c r="G14" s="17" t="s">
        <v>659</v>
      </c>
    </row>
    <row r="15" spans="1:7" ht="18.75" x14ac:dyDescent="0.25">
      <c r="A15" s="18" t="s">
        <v>449</v>
      </c>
      <c r="B15" s="16" t="str">
        <f t="shared" si="0"/>
        <v>PB01050039615</v>
      </c>
      <c r="C15" s="16" t="str">
        <f t="shared" si="1"/>
        <v>CÔNG TY CỔ PHẦN PHÁT TRIỂN HẠ TẦNG KỸ THUẬT BECAMEX - BÌNH PHƯỚC</v>
      </c>
      <c r="D15" s="16" t="str">
        <f t="shared" si="2"/>
        <v>Đường D8/N1M Trụ 20B/32/4H- NR 191D/47301053542000</v>
      </c>
      <c r="E15" s="16" t="str">
        <f>MID(G15,137,10)</f>
        <v>1411223381</v>
      </c>
      <c r="F15" s="16" t="str">
        <f t="shared" si="3"/>
        <v>10/10/2024110</v>
      </c>
      <c r="G15" s="17" t="s">
        <v>660</v>
      </c>
    </row>
    <row r="16" spans="1:7" ht="18.75" x14ac:dyDescent="0.25">
      <c r="A16" s="18" t="s">
        <v>486</v>
      </c>
      <c r="B16" s="16" t="str">
        <f t="shared" si="0"/>
        <v>PB01050039650</v>
      </c>
      <c r="C16" s="16" t="str">
        <f t="shared" si="1"/>
        <v>CÔNG TY CỔ PHẦN PHÁT TRIỂN HẠ TẦNG KỸ THUẬT BECAMEX - BÌNH PHƯỚC</v>
      </c>
      <c r="D16" s="16" t="str">
        <f t="shared" si="2"/>
        <v>Đường D8/N1M Trụ 20B/32/4H- NR 191D/47301053542000</v>
      </c>
      <c r="E16" s="16" t="str">
        <f>MID(G16,137,10)</f>
        <v>1411021460</v>
      </c>
      <c r="F16" s="16" t="str">
        <f t="shared" si="3"/>
        <v>10/10/2024110</v>
      </c>
      <c r="G16" s="17" t="s">
        <v>661</v>
      </c>
    </row>
    <row r="17" spans="1:7" ht="18.75" x14ac:dyDescent="0.25">
      <c r="A17" s="18" t="s">
        <v>485</v>
      </c>
      <c r="B17" s="16" t="str">
        <f t="shared" si="0"/>
        <v>PB01050039649</v>
      </c>
      <c r="C17" s="16" t="str">
        <f t="shared" si="1"/>
        <v>CÔNG TY CỔ PHẦN PHÁT TRIỂN HẠ TẦNG KỸ THUẬT BECAMEX - BÌNH PHƯỚC</v>
      </c>
      <c r="D17" s="16" t="str">
        <f t="shared" ref="D17:D26" si="4">MID(G17,87,51)</f>
        <v>Đường D8/N1M Trụ 20B/32/15H- NR 191D/47301053542000</v>
      </c>
      <c r="E17" s="16" t="str">
        <f t="shared" ref="E17:E26" si="5">MID(G17,138,10)</f>
        <v>1411059337</v>
      </c>
      <c r="F17" s="16" t="str">
        <f t="shared" si="3"/>
        <v>16/09/2024110</v>
      </c>
      <c r="G17" s="17" t="s">
        <v>662</v>
      </c>
    </row>
    <row r="18" spans="1:7" ht="18.75" x14ac:dyDescent="0.25">
      <c r="A18" s="18" t="s">
        <v>484</v>
      </c>
      <c r="B18" s="16" t="str">
        <f t="shared" si="0"/>
        <v>PB01050039648</v>
      </c>
      <c r="C18" s="16" t="str">
        <f t="shared" si="1"/>
        <v>CÔNG TY CỔ PHẦN PHÁT TRIỂN HẠ TẦNG KỸ THUẬT BECAMEX - BÌNH PHƯỚC</v>
      </c>
      <c r="D18" s="16" t="str">
        <f t="shared" si="4"/>
        <v>Đường D8/N1M Trụ 20B/32/15H- NR 191D/47301053542000</v>
      </c>
      <c r="E18" s="16" t="str">
        <f t="shared" si="5"/>
        <v>1411223067</v>
      </c>
      <c r="F18" s="16" t="str">
        <f t="shared" si="3"/>
        <v>16/09/2024110</v>
      </c>
      <c r="G18" s="17" t="s">
        <v>663</v>
      </c>
    </row>
    <row r="19" spans="1:7" ht="18.75" x14ac:dyDescent="0.25">
      <c r="A19" s="18" t="s">
        <v>491</v>
      </c>
      <c r="B19" s="16" t="str">
        <f t="shared" si="0"/>
        <v>PB01050039655</v>
      </c>
      <c r="C19" s="16" t="str">
        <f t="shared" si="1"/>
        <v>CÔNG TY CỔ PHẦN PHÁT TRIỂN HẠ TẦNG KỸ THUẬT BECAMEX - BÌNH PHƯỚC</v>
      </c>
      <c r="D19" s="16" t="str">
        <f t="shared" si="4"/>
        <v>Đường D8/N1M Trụ 20B/32/15H- NR 191D/47301053542000</v>
      </c>
      <c r="E19" s="16" t="str">
        <f t="shared" si="5"/>
        <v>0131194860</v>
      </c>
      <c r="F19" s="16" t="str">
        <f t="shared" si="3"/>
        <v>16/09/2024110</v>
      </c>
      <c r="G19" s="17" t="s">
        <v>664</v>
      </c>
    </row>
    <row r="20" spans="1:7" ht="18.75" x14ac:dyDescent="0.25">
      <c r="A20" s="18" t="s">
        <v>510</v>
      </c>
      <c r="B20" s="16" t="str">
        <f t="shared" si="0"/>
        <v>PB01050039674</v>
      </c>
      <c r="C20" s="16" t="str">
        <f t="shared" si="1"/>
        <v>CÔNG TY CỔ PHẦN PHÁT TRIỂN HẠ TẦNG KỸ THUẬT BECAMEX - BÌNH PHƯỚC</v>
      </c>
      <c r="D20" s="16" t="str">
        <f t="shared" si="4"/>
        <v>Đường D8/N1M Trụ 20B/32/15H- NR 191D/47301053542000</v>
      </c>
      <c r="E20" s="16" t="str">
        <f t="shared" si="5"/>
        <v>1411162106</v>
      </c>
      <c r="F20" s="16" t="str">
        <f t="shared" si="3"/>
        <v>16/09/2024110</v>
      </c>
      <c r="G20" s="17" t="s">
        <v>665</v>
      </c>
    </row>
    <row r="21" spans="1:7" ht="18.75" x14ac:dyDescent="0.25">
      <c r="A21" s="18" t="s">
        <v>509</v>
      </c>
      <c r="B21" s="16" t="str">
        <f t="shared" si="0"/>
        <v>PB01050039673</v>
      </c>
      <c r="C21" s="16" t="str">
        <f t="shared" si="1"/>
        <v>CÔNG TY CỔ PHẦN PHÁT TRIỂN HẠ TẦNG KỸ THUẬT BECAMEX - BÌNH PHƯỚC</v>
      </c>
      <c r="D21" s="16" t="str">
        <f t="shared" si="4"/>
        <v>Đường D8/N1M Trụ 20B/32/15H- NR 191D/47301053542000</v>
      </c>
      <c r="E21" s="16" t="str">
        <f t="shared" si="5"/>
        <v>1611755887</v>
      </c>
      <c r="F21" s="16" t="str">
        <f t="shared" si="3"/>
        <v>16/09/2024110</v>
      </c>
      <c r="G21" s="17" t="s">
        <v>666</v>
      </c>
    </row>
    <row r="22" spans="1:7" ht="18.75" x14ac:dyDescent="0.25">
      <c r="A22" s="18" t="s">
        <v>508</v>
      </c>
      <c r="B22" s="16" t="str">
        <f t="shared" si="0"/>
        <v>PB01050039672</v>
      </c>
      <c r="C22" s="16" t="str">
        <f t="shared" si="1"/>
        <v>CÔNG TY CỔ PHẦN PHÁT TRIỂN HẠ TẦNG KỸ THUẬT BECAMEX - BÌNH PHƯỚC</v>
      </c>
      <c r="D22" s="16" t="str">
        <f t="shared" si="4"/>
        <v>Đường D8/N1M Trụ 20B/32/15H- NR 191D/47301053542000</v>
      </c>
      <c r="E22" s="16" t="str">
        <f t="shared" si="5"/>
        <v>0131195277</v>
      </c>
      <c r="F22" s="16" t="str">
        <f t="shared" si="3"/>
        <v>16/09/2024110</v>
      </c>
      <c r="G22" s="17" t="s">
        <v>667</v>
      </c>
    </row>
    <row r="23" spans="1:7" ht="18.75" x14ac:dyDescent="0.25">
      <c r="A23" s="18" t="s">
        <v>507</v>
      </c>
      <c r="B23" s="16" t="str">
        <f t="shared" si="0"/>
        <v>PB01050039671</v>
      </c>
      <c r="C23" s="16" t="str">
        <f t="shared" si="1"/>
        <v>CÔNG TY CỔ PHẦN PHÁT TRIỂN HẠ TẦNG KỸ THUẬT BECAMEX - BÌNH PHƯỚC</v>
      </c>
      <c r="D23" s="16" t="str">
        <f t="shared" si="4"/>
        <v>Đường D8/N1M Trụ 20B/32/15H- NR 191D/47301053542000</v>
      </c>
      <c r="E23" s="16" t="str">
        <f t="shared" si="5"/>
        <v>1611060356</v>
      </c>
      <c r="F23" s="16" t="str">
        <f t="shared" si="3"/>
        <v>16/09/2024110</v>
      </c>
      <c r="G23" s="17" t="s">
        <v>668</v>
      </c>
    </row>
    <row r="24" spans="1:7" ht="18.75" x14ac:dyDescent="0.25">
      <c r="A24" s="18" t="s">
        <v>506</v>
      </c>
      <c r="B24" s="16" t="str">
        <f t="shared" si="0"/>
        <v>PB01050039670</v>
      </c>
      <c r="C24" s="16" t="str">
        <f t="shared" si="1"/>
        <v>CÔNG TY CỔ PHẦN PHÁT TRIỂN HẠ TẦNG KỸ THUẬT BECAMEX - BÌNH PHƯỚC</v>
      </c>
      <c r="D24" s="16" t="str">
        <f t="shared" si="4"/>
        <v>Đường D8/N1M Trụ 20B/32/15H- NR 191D/47301053542000</v>
      </c>
      <c r="E24" s="16" t="str">
        <f t="shared" si="5"/>
        <v>0131166118</v>
      </c>
      <c r="F24" s="16" t="str">
        <f t="shared" si="3"/>
        <v>16/09/2024110</v>
      </c>
      <c r="G24" s="17" t="s">
        <v>669</v>
      </c>
    </row>
    <row r="25" spans="1:7" ht="18.75" x14ac:dyDescent="0.25">
      <c r="A25" s="18" t="s">
        <v>505</v>
      </c>
      <c r="B25" s="16" t="str">
        <f t="shared" si="0"/>
        <v>PB01050039669</v>
      </c>
      <c r="C25" s="16" t="str">
        <f t="shared" si="1"/>
        <v>CÔNG TY CỔ PHẦN PHÁT TRIỂN HẠ TẦNG KỸ THUẬT BECAMEX - BÌNH PHƯỚC</v>
      </c>
      <c r="D25" s="16" t="str">
        <f t="shared" si="4"/>
        <v>Đường D8/N1M Trụ 20B/32/15H- NR 191D/47301053542000</v>
      </c>
      <c r="E25" s="16" t="str">
        <f t="shared" si="5"/>
        <v>1411125740</v>
      </c>
      <c r="F25" s="16" t="str">
        <f t="shared" si="3"/>
        <v>16/09/2024110</v>
      </c>
      <c r="G25" s="17" t="s">
        <v>670</v>
      </c>
    </row>
    <row r="26" spans="1:7" ht="18.75" x14ac:dyDescent="0.25">
      <c r="A26" s="18" t="s">
        <v>504</v>
      </c>
      <c r="B26" s="16" t="str">
        <f t="shared" si="0"/>
        <v>PB01050039668</v>
      </c>
      <c r="C26" s="16" t="str">
        <f t="shared" si="1"/>
        <v>CÔNG TY CỔ PHẦN PHÁT TRIỂN HẠ TẦNG KỸ THUẬT BECAMEX - BÌNH PHƯỚC</v>
      </c>
      <c r="D26" s="16" t="str">
        <f t="shared" si="4"/>
        <v>Đường D8/N1M Trụ 20B/32/15H- NR 191D/47301053542000</v>
      </c>
      <c r="E26" s="16" t="str">
        <f t="shared" si="5"/>
        <v>1411125274</v>
      </c>
      <c r="F26" s="16" t="str">
        <f t="shared" si="3"/>
        <v>16/09/2024110</v>
      </c>
      <c r="G26" s="17" t="s">
        <v>671</v>
      </c>
    </row>
    <row r="27" spans="1:7" ht="18.75" x14ac:dyDescent="0.25">
      <c r="A27" s="18" t="s">
        <v>483</v>
      </c>
      <c r="B27" s="16" t="str">
        <f t="shared" si="0"/>
        <v>PB01050039647</v>
      </c>
      <c r="C27" s="16" t="str">
        <f t="shared" si="1"/>
        <v>CÔNG TY CỔ PHẦN PHÁT TRIỂN HẠ TẦNG KỸ THUẬT BECAMEX - BÌNH PHƯỚC</v>
      </c>
      <c r="D27" s="16" t="str">
        <f>MID(G27,87,50)</f>
        <v>28/06/202101053542000141116267016/09/2024110</v>
      </c>
      <c r="E27" s="16">
        <v>1411162670</v>
      </c>
      <c r="F27" s="16" t="str">
        <f t="shared" si="3"/>
        <v>16/09/2024110</v>
      </c>
      <c r="G27" s="17" t="s">
        <v>672</v>
      </c>
    </row>
    <row r="28" spans="1:7" ht="18.75" x14ac:dyDescent="0.25">
      <c r="A28" s="18" t="s">
        <v>482</v>
      </c>
      <c r="B28" s="16" t="str">
        <f t="shared" si="0"/>
        <v>PB01050039646</v>
      </c>
      <c r="C28" s="16" t="str">
        <f t="shared" si="1"/>
        <v>CÔNG TY CỔ PHẦN PHÁT TRIỂN HẠ TẦNG KỸ THUẬT BECAMEX - BÌNH PHƯỚC</v>
      </c>
      <c r="D28" s="16" t="str">
        <f t="shared" ref="D28:D85" si="6">MID(G28,87,51)</f>
        <v>Đường D8/N1M Trụ 20B/32/16H- NR 191D/47301053542000</v>
      </c>
      <c r="E28" s="16" t="str">
        <f>MID(G28,138,10)</f>
        <v>0131194040</v>
      </c>
      <c r="F28" s="16" t="str">
        <f t="shared" si="3"/>
        <v>16/09/2024110</v>
      </c>
      <c r="G28" s="17" t="s">
        <v>673</v>
      </c>
    </row>
    <row r="29" spans="1:7" ht="18.75" x14ac:dyDescent="0.25">
      <c r="A29" s="18" t="s">
        <v>481</v>
      </c>
      <c r="B29" s="16" t="str">
        <f t="shared" si="0"/>
        <v>PB01050039645</v>
      </c>
      <c r="C29" s="16" t="str">
        <f t="shared" si="1"/>
        <v>CÔNG TY CỔ PHẦN PHÁT TRIỂN HẠ TẦNG KỸ THUẬT BECAMEX - BÌNH PHƯỚC</v>
      </c>
      <c r="D29" s="16" t="str">
        <f t="shared" si="6"/>
        <v>Đường D8/N1M Trụ 20B/32/16H- NR 191D/47301053542000</v>
      </c>
      <c r="E29" s="16" t="str">
        <f>MID(G29,138,10)</f>
        <v>1411223000</v>
      </c>
      <c r="F29" s="16" t="str">
        <f t="shared" si="3"/>
        <v>16/09/2024110</v>
      </c>
      <c r="G29" s="17" t="s">
        <v>674</v>
      </c>
    </row>
    <row r="30" spans="1:7" ht="18.75" x14ac:dyDescent="0.25">
      <c r="A30" s="18" t="s">
        <v>480</v>
      </c>
      <c r="B30" s="16" t="str">
        <f t="shared" si="0"/>
        <v>PB01050039641</v>
      </c>
      <c r="C30" s="16" t="str">
        <f t="shared" si="1"/>
        <v>CÔNG TY CỔ PHẦN PHÁT TRIỂN HẠ TẦNG KỸ THUẬT BECAMEX - BÌNH PHƯỚC</v>
      </c>
      <c r="D30" s="16" t="str">
        <f t="shared" si="6"/>
        <v>Đường D8/N1M Trụ 20B/32/16H- NR 191D/47301053542000</v>
      </c>
      <c r="E30" s="16" t="str">
        <f>MID(G30,138,10)</f>
        <v>1411222703</v>
      </c>
      <c r="F30" s="16" t="str">
        <f t="shared" si="3"/>
        <v>16/09/2024110</v>
      </c>
      <c r="G30" s="17" t="s">
        <v>675</v>
      </c>
    </row>
    <row r="31" spans="1:7" ht="18.75" x14ac:dyDescent="0.25">
      <c r="A31" s="18" t="s">
        <v>479</v>
      </c>
      <c r="B31" s="16" t="str">
        <f t="shared" si="0"/>
        <v>PB01050039640</v>
      </c>
      <c r="C31" s="16" t="str">
        <f t="shared" si="1"/>
        <v>CÔNG TY CỔ PHẦN PHÁT TRIỂN HẠ TẦNG KỸ THUẬT BECAMEX - BÌNH PHƯỚC</v>
      </c>
      <c r="D31" s="16" t="str">
        <f t="shared" si="6"/>
        <v>Đường D8/N1M Trụ 20B/32/16H- NR 191D/47301053542000</v>
      </c>
      <c r="E31" s="16" t="str">
        <f>MID(G31,138,10)</f>
        <v>1411163055</v>
      </c>
      <c r="F31" s="16" t="str">
        <f t="shared" si="3"/>
        <v>16/09/2024110</v>
      </c>
      <c r="G31" s="17" t="s">
        <v>676</v>
      </c>
    </row>
    <row r="32" spans="1:7" ht="18.75" x14ac:dyDescent="0.25">
      <c r="A32" s="18" t="s">
        <v>478</v>
      </c>
      <c r="B32" s="16" t="str">
        <f t="shared" si="0"/>
        <v>PB01050039639</v>
      </c>
      <c r="C32" s="16" t="str">
        <f t="shared" si="1"/>
        <v>CÔNG TY CỔ PHẦN PHÁT TRIỂN HẠ TẦNG KỸ THUẬT BECAMEX - BÌNH PHƯỚC</v>
      </c>
      <c r="D32" s="16" t="str">
        <f t="shared" si="6"/>
        <v>Đường D8/N1M Trụ 20B/32/16H- NR 191D/47301053542000</v>
      </c>
      <c r="E32" s="16" t="str">
        <f>MID(G32,138,10)</f>
        <v>1411057576</v>
      </c>
      <c r="F32" s="16" t="str">
        <f t="shared" si="3"/>
        <v>16/09/2024110</v>
      </c>
      <c r="G32" s="17" t="s">
        <v>677</v>
      </c>
    </row>
    <row r="33" spans="1:7" ht="18.75" x14ac:dyDescent="0.25">
      <c r="A33" s="18" t="s">
        <v>503</v>
      </c>
      <c r="B33" s="16" t="str">
        <f t="shared" si="0"/>
        <v>PB01050039667</v>
      </c>
      <c r="C33" s="16" t="str">
        <f t="shared" si="1"/>
        <v>CÔNG TY CỔ PHẦN PHÁT TRIỂN HẠ TẦNG KỸ THUẬT BECAMEX - BÌNH PHƯỚC</v>
      </c>
      <c r="D33" s="16" t="str">
        <f t="shared" si="6"/>
        <v>Đường D8/N1M Trụ 20B/32/16H- NR 191D/47301053542019</v>
      </c>
      <c r="E33" s="16" t="str">
        <f>MID(G33,138,8)</f>
        <v>11583643</v>
      </c>
      <c r="F33" s="16" t="str">
        <f t="shared" si="3"/>
        <v>16/09/2024110</v>
      </c>
      <c r="G33" s="17" t="s">
        <v>678</v>
      </c>
    </row>
    <row r="34" spans="1:7" ht="18.75" x14ac:dyDescent="0.25">
      <c r="A34" s="18" t="s">
        <v>502</v>
      </c>
      <c r="B34" s="16" t="str">
        <f t="shared" si="0"/>
        <v>PB01050039666</v>
      </c>
      <c r="C34" s="16" t="str">
        <f t="shared" si="1"/>
        <v>CÔNG TY CỔ PHẦN PHÁT TRIỂN HẠ TẦNG KỸ THUẬT BECAMEX - BÌNH PHƯỚC</v>
      </c>
      <c r="D34" s="16" t="str">
        <f t="shared" si="6"/>
        <v>Đường D8/N1M Trụ 20B/32/16H- NR 191D/47301053542019</v>
      </c>
      <c r="E34" s="16" t="str">
        <f t="shared" ref="E34:E35" si="7">MID(G34,138,8)</f>
        <v>11436578</v>
      </c>
      <c r="F34" s="16" t="str">
        <f t="shared" si="3"/>
        <v>16/09/2024110</v>
      </c>
      <c r="G34" s="17" t="s">
        <v>679</v>
      </c>
    </row>
    <row r="35" spans="1:7" ht="18.75" x14ac:dyDescent="0.25">
      <c r="A35" s="18" t="s">
        <v>501</v>
      </c>
      <c r="B35" s="16" t="str">
        <f t="shared" si="0"/>
        <v>PB01050039665</v>
      </c>
      <c r="C35" s="16" t="str">
        <f t="shared" si="1"/>
        <v>CÔNG TY CỔ PHẦN PHÁT TRIỂN HẠ TẦNG KỸ THUẬT BECAMEX - BÌNH PHƯỚC</v>
      </c>
      <c r="D35" s="16" t="str">
        <f t="shared" si="6"/>
        <v>Đường D8/N1M Trụ 20B/32/16H- NR 191D/47301053542019</v>
      </c>
      <c r="E35" s="16" t="str">
        <f t="shared" si="7"/>
        <v>11435075</v>
      </c>
      <c r="F35" s="16" t="str">
        <f t="shared" si="3"/>
        <v>16/09/2024110</v>
      </c>
      <c r="G35" s="17" t="s">
        <v>680</v>
      </c>
    </row>
    <row r="36" spans="1:7" ht="18.75" x14ac:dyDescent="0.25">
      <c r="A36" s="18" t="s">
        <v>500</v>
      </c>
      <c r="B36" s="16" t="str">
        <f t="shared" si="0"/>
        <v>PB01050039664</v>
      </c>
      <c r="C36" s="16" t="str">
        <f t="shared" si="1"/>
        <v>CÔNG TY CỔ PHẦN PHÁT TRIỂN HẠ TẦNG KỸ THUẬT BECAMEX - BÌNH PHƯỚC</v>
      </c>
      <c r="D36" s="16" t="str">
        <f t="shared" si="6"/>
        <v>Đường D8/N1M Trụ 20B/32/16H- NR 191D/47301053542000</v>
      </c>
      <c r="E36" s="16" t="str">
        <f>MID(G36,138,10)</f>
        <v>1411057359</v>
      </c>
      <c r="F36" s="16" t="str">
        <f t="shared" si="3"/>
        <v>16/09/2024110</v>
      </c>
      <c r="G36" s="17" t="s">
        <v>681</v>
      </c>
    </row>
    <row r="37" spans="1:7" ht="18.75" x14ac:dyDescent="0.25">
      <c r="A37" s="18" t="s">
        <v>496</v>
      </c>
      <c r="B37" s="16" t="str">
        <f t="shared" si="0"/>
        <v>PB01050039660</v>
      </c>
      <c r="C37" s="16" t="str">
        <f t="shared" si="1"/>
        <v>CÔNG TY CỔ PHẦN PHÁT TRIỂN HẠ TẦNG KỸ THUẬT BECAMEX - BÌNH PHƯỚC</v>
      </c>
      <c r="D37" s="16" t="str">
        <f t="shared" si="6"/>
        <v>Đường D8/N1M Trụ 20B/32/16H- NR 191D/47301053542019</v>
      </c>
      <c r="E37" s="16" t="str">
        <f>MID(G37,138,10)</f>
        <v>1143511416</v>
      </c>
      <c r="F37" s="16" t="str">
        <f t="shared" si="3"/>
        <v>16/09/2024110</v>
      </c>
      <c r="G37" s="17" t="s">
        <v>682</v>
      </c>
    </row>
    <row r="38" spans="1:7" ht="18.75" x14ac:dyDescent="0.25">
      <c r="A38" s="18" t="s">
        <v>498</v>
      </c>
      <c r="B38" s="16" t="str">
        <f t="shared" si="0"/>
        <v>PB01050039662</v>
      </c>
      <c r="C38" s="16" t="str">
        <f t="shared" si="1"/>
        <v>CÔNG TY CỔ PHẦN PHÁT TRIỂN HẠ TẦNG KỸ THUẬT BECAMEX - BÌNH PHƯỚC</v>
      </c>
      <c r="D38" s="16" t="str">
        <f t="shared" si="6"/>
        <v>Đường D8/N1M Trụ 20B/32/16H- NR 191D/47301053542000</v>
      </c>
      <c r="E38" s="16" t="str">
        <f>MID(G38,138,10)</f>
        <v>1411057405</v>
      </c>
      <c r="F38" s="16" t="str">
        <f t="shared" si="3"/>
        <v>16/09/2024110</v>
      </c>
      <c r="G38" s="17" t="s">
        <v>683</v>
      </c>
    </row>
    <row r="39" spans="1:7" ht="18.75" x14ac:dyDescent="0.25">
      <c r="A39" s="18" t="s">
        <v>477</v>
      </c>
      <c r="B39" s="16" t="str">
        <f t="shared" si="0"/>
        <v>PB01050039637</v>
      </c>
      <c r="C39" s="16" t="str">
        <f t="shared" si="1"/>
        <v>CÔNG TY CỔ PHẦN PHÁT TRIỂN HẠ TẦNG KỸ THUẬT BECAMEX - BÌNH PHƯỚC</v>
      </c>
      <c r="D39" s="16" t="str">
        <f t="shared" si="6"/>
        <v>Đường D8/N1M Trụ 20B/32/17H- NR 191D/47301053542019</v>
      </c>
      <c r="E39" s="16" t="str">
        <f>MID(G39,138,8)</f>
        <v>11435110</v>
      </c>
      <c r="F39" s="16" t="str">
        <f t="shared" si="3"/>
        <v>16/09/2024110</v>
      </c>
      <c r="G39" s="17" t="s">
        <v>684</v>
      </c>
    </row>
    <row r="40" spans="1:7" ht="18.75" x14ac:dyDescent="0.25">
      <c r="A40" s="18" t="s">
        <v>476</v>
      </c>
      <c r="B40" s="16" t="str">
        <f t="shared" si="0"/>
        <v>PB01050039636</v>
      </c>
      <c r="C40" s="16" t="str">
        <f t="shared" si="1"/>
        <v>CÔNG TY CỔ PHẦN PHÁT TRIỂN HẠ TẦNG KỸ THUẬT BECAMEX - BÌNH PHƯỚC</v>
      </c>
      <c r="D40" s="16" t="str">
        <f t="shared" si="6"/>
        <v>Đường D8/N1M Trụ 20B/32/17H- NR 191D/47301053542019</v>
      </c>
      <c r="E40" s="16" t="str">
        <f t="shared" ref="E40:E45" si="8">MID(G40,138,8)</f>
        <v>11583302</v>
      </c>
      <c r="F40" s="16" t="str">
        <f t="shared" si="3"/>
        <v>16/09/2024110</v>
      </c>
      <c r="G40" s="17" t="s">
        <v>685</v>
      </c>
    </row>
    <row r="41" spans="1:7" ht="18.75" x14ac:dyDescent="0.25">
      <c r="A41" s="18" t="s">
        <v>475</v>
      </c>
      <c r="B41" s="16" t="str">
        <f t="shared" si="0"/>
        <v>PB01050039635</v>
      </c>
      <c r="C41" s="16" t="str">
        <f t="shared" si="1"/>
        <v>CÔNG TY CỔ PHẦN PHÁT TRIỂN HẠ TẦNG KỸ THUẬT BECAMEX - BÌNH PHƯỚC</v>
      </c>
      <c r="D41" s="16" t="str">
        <f t="shared" si="6"/>
        <v>Đường D8/N1M Trụ 20B/32/17H- NR 191D/47301053542019</v>
      </c>
      <c r="E41" s="16" t="str">
        <f t="shared" si="8"/>
        <v>11436310</v>
      </c>
      <c r="F41" s="16" t="str">
        <f t="shared" si="3"/>
        <v>16/09/2024110</v>
      </c>
      <c r="G41" s="17" t="s">
        <v>686</v>
      </c>
    </row>
    <row r="42" spans="1:7" ht="18.75" x14ac:dyDescent="0.25">
      <c r="A42" s="18" t="s">
        <v>474</v>
      </c>
      <c r="B42" s="16" t="str">
        <f t="shared" si="0"/>
        <v>PB01050039642</v>
      </c>
      <c r="C42" s="16" t="str">
        <f t="shared" si="1"/>
        <v>CÔNG TY CỔ PHẦN PHÁT TRIỂN HẠ TẦNG KỸ THUẬT BECAMEX - BÌNH PHƯỚC</v>
      </c>
      <c r="D42" s="16" t="str">
        <f t="shared" si="6"/>
        <v>Đường D8/N1M Trụ 20B/32/17H- NR 191D/47301053542019</v>
      </c>
      <c r="E42" s="16" t="str">
        <f>MID(G42,138,8)</f>
        <v>11435019</v>
      </c>
      <c r="F42" s="16" t="str">
        <f t="shared" si="3"/>
        <v>16/09/2024110</v>
      </c>
      <c r="G42" s="17" t="s">
        <v>687</v>
      </c>
    </row>
    <row r="43" spans="1:7" ht="18.75" x14ac:dyDescent="0.25">
      <c r="A43" s="18" t="s">
        <v>473</v>
      </c>
      <c r="B43" s="16" t="str">
        <f t="shared" si="0"/>
        <v>PB01050039633</v>
      </c>
      <c r="C43" s="16" t="str">
        <f t="shared" si="1"/>
        <v>CÔNG TY CỔ PHẦN PHÁT TRIỂN HẠ TẦNG KỸ THUẬT BECAMEX - BÌNH PHƯỚC</v>
      </c>
      <c r="D43" s="16" t="str">
        <f t="shared" si="6"/>
        <v>Đường D8/N1M Trụ 20B/32/17H- NR 191D/47301053542019</v>
      </c>
      <c r="E43" s="16" t="str">
        <f t="shared" si="8"/>
        <v>11582797</v>
      </c>
      <c r="F43" s="16" t="str">
        <f t="shared" si="3"/>
        <v>16/09/2024110</v>
      </c>
      <c r="G43" s="17" t="s">
        <v>688</v>
      </c>
    </row>
    <row r="44" spans="1:7" ht="18.75" x14ac:dyDescent="0.25">
      <c r="A44" s="18" t="s">
        <v>472</v>
      </c>
      <c r="B44" s="16" t="str">
        <f t="shared" si="0"/>
        <v>PB01050039632</v>
      </c>
      <c r="C44" s="16" t="str">
        <f t="shared" si="1"/>
        <v>CÔNG TY CỔ PHẦN PHÁT TRIỂN HẠ TẦNG KỸ THUẬT BECAMEX - BÌNH PHƯỚC</v>
      </c>
      <c r="D44" s="16" t="str">
        <f t="shared" si="6"/>
        <v>Đường D8/N1M Trụ 20B/32/17H- NR 191D/47301053542019</v>
      </c>
      <c r="E44" s="16" t="str">
        <f t="shared" si="8"/>
        <v>11584500</v>
      </c>
      <c r="F44" s="16" t="str">
        <f t="shared" si="3"/>
        <v>16/09/2024110</v>
      </c>
      <c r="G44" s="17" t="s">
        <v>689</v>
      </c>
    </row>
    <row r="45" spans="1:7" ht="18.75" x14ac:dyDescent="0.25">
      <c r="A45" s="18" t="s">
        <v>497</v>
      </c>
      <c r="B45" s="16" t="str">
        <f t="shared" si="0"/>
        <v>PB01050039661</v>
      </c>
      <c r="C45" s="16" t="str">
        <f t="shared" si="1"/>
        <v>CÔNG TY CỔ PHẦN PHÁT TRIỂN HẠ TẦNG KỸ THUẬT BECAMEX - BÌNH PHƯỚC</v>
      </c>
      <c r="D45" s="16" t="str">
        <f t="shared" si="6"/>
        <v>Đường D8/N1M Trụ 20B/32/16H- NR 191D/47301053542019</v>
      </c>
      <c r="E45" s="16" t="str">
        <f t="shared" si="8"/>
        <v>11580448</v>
      </c>
      <c r="F45" s="16" t="str">
        <f t="shared" si="3"/>
        <v>01/11/2024110</v>
      </c>
      <c r="G45" s="17" t="s">
        <v>690</v>
      </c>
    </row>
    <row r="46" spans="1:7" ht="18.75" x14ac:dyDescent="0.25">
      <c r="A46" s="18" t="s">
        <v>499</v>
      </c>
      <c r="B46" s="16" t="str">
        <f t="shared" si="0"/>
        <v>PB01050039663</v>
      </c>
      <c r="C46" s="16" t="str">
        <f t="shared" si="1"/>
        <v>CÔNG TY CỔ PHẦN PHÁT TRIỂN HẠ TẦNG KỸ THUẬT BECAMEX - BÌNH PHƯỚC</v>
      </c>
      <c r="D46" s="16" t="str">
        <f t="shared" si="6"/>
        <v>Đường D8/N1M Trụ 20B/32/16H- NR 191D/47301053542000</v>
      </c>
      <c r="E46" s="16" t="str">
        <f>MID(G46,138,10)</f>
        <v>1411183992</v>
      </c>
      <c r="F46" s="16" t="str">
        <f t="shared" si="3"/>
        <v>16/09/2024110</v>
      </c>
      <c r="G46" s="17" t="s">
        <v>691</v>
      </c>
    </row>
    <row r="47" spans="1:7" ht="18.75" x14ac:dyDescent="0.25">
      <c r="A47" s="18" t="s">
        <v>495</v>
      </c>
      <c r="B47" s="16" t="str">
        <f t="shared" si="0"/>
        <v>PB01050039659</v>
      </c>
      <c r="C47" s="16" t="str">
        <f t="shared" si="1"/>
        <v>CÔNG TY CỔ PHẦN PHÁT TRIỂN HẠ TẦNG KỸ THUẬT BECAMEX - BÌNH PHƯỚC</v>
      </c>
      <c r="D47" s="16" t="str">
        <f t="shared" si="6"/>
        <v>Đường D8/N1M Trụ 20B/32/17H- NR 191D/47301053542024</v>
      </c>
      <c r="E47" s="16" t="str">
        <f>MID(G47,138,10)</f>
        <v>1200144126</v>
      </c>
      <c r="F47" s="16" t="str">
        <f t="shared" si="3"/>
        <v>16/09/2024110</v>
      </c>
      <c r="G47" s="17" t="s">
        <v>692</v>
      </c>
    </row>
    <row r="48" spans="1:7" ht="18.75" x14ac:dyDescent="0.25">
      <c r="A48" s="18" t="s">
        <v>494</v>
      </c>
      <c r="B48" s="16" t="str">
        <f t="shared" si="0"/>
        <v>PB01050039658</v>
      </c>
      <c r="C48" s="16" t="str">
        <f t="shared" si="1"/>
        <v>CÔNG TY CỔ PHẦN PHÁT TRIỂN HẠ TẦNG KỸ THUẬT BECAMEX - BÌNH PHƯỚC</v>
      </c>
      <c r="D48" s="16" t="str">
        <f t="shared" si="6"/>
        <v>Đường D8/N1M Trụ 20B/32/17H- NR 191D/47301053542019</v>
      </c>
      <c r="E48" s="16" t="str">
        <f t="shared" ref="E48:E85" si="9">MID(G48,138,8)</f>
        <v>11581694</v>
      </c>
      <c r="F48" s="16" t="str">
        <f t="shared" si="3"/>
        <v>16/09/2024110</v>
      </c>
      <c r="G48" s="17" t="s">
        <v>693</v>
      </c>
    </row>
    <row r="49" spans="1:7" ht="18.75" x14ac:dyDescent="0.25">
      <c r="A49" s="18" t="s">
        <v>493</v>
      </c>
      <c r="B49" s="16" t="str">
        <f t="shared" si="0"/>
        <v>PB01050039657</v>
      </c>
      <c r="C49" s="16" t="str">
        <f t="shared" si="1"/>
        <v>CÔNG TY CỔ PHẦN PHÁT TRIỂN HẠ TẦNG KỸ THUẬT BECAMEX - BÌNH PHƯỚC</v>
      </c>
      <c r="D49" s="16" t="str">
        <f t="shared" si="6"/>
        <v>Đường D8/N1M Trụ 20B/32/17H- NR 191D/47301053542019</v>
      </c>
      <c r="E49" s="16" t="str">
        <f t="shared" si="9"/>
        <v>11581460</v>
      </c>
      <c r="F49" s="16" t="str">
        <f t="shared" si="3"/>
        <v>16/09/2024110</v>
      </c>
      <c r="G49" s="17" t="s">
        <v>694</v>
      </c>
    </row>
    <row r="50" spans="1:7" ht="18.75" x14ac:dyDescent="0.25">
      <c r="A50" s="18" t="s">
        <v>492</v>
      </c>
      <c r="B50" s="16" t="str">
        <f t="shared" si="0"/>
        <v>PB01050039656</v>
      </c>
      <c r="C50" s="16" t="str">
        <f t="shared" si="1"/>
        <v>CÔNG TY CỔ PHẦN PHÁT TRIỂN HẠ TẦNG KỸ THUẬT BECAMEX - BÌNH PHƯỚC</v>
      </c>
      <c r="D50" s="16" t="str">
        <f t="shared" si="6"/>
        <v>Đường D8/N1M Trụ 20B/32/17H- NR 191D/47301053542019</v>
      </c>
      <c r="E50" s="16" t="str">
        <f t="shared" si="9"/>
        <v>11435080</v>
      </c>
      <c r="F50" s="16" t="str">
        <f t="shared" si="3"/>
        <v>16/09/2024110</v>
      </c>
      <c r="G50" s="17" t="s">
        <v>695</v>
      </c>
    </row>
    <row r="51" spans="1:7" x14ac:dyDescent="0.25">
      <c r="A51" s="19">
        <v>1</v>
      </c>
      <c r="B51" s="16" t="str">
        <f t="shared" si="0"/>
        <v>PB01050039747</v>
      </c>
      <c r="C51" s="16" t="str">
        <f t="shared" si="1"/>
        <v>CÔNG TY CỔ PHẦN PHÁT TRIỂN HẠ TẦNG KỸ THUẬT BECAMEX - BÌNH PHƯỚC</v>
      </c>
      <c r="D51" s="16" t="str">
        <f t="shared" si="6"/>
        <v>Đường D8/N1M Trụ 20B/32/18H- NR 191D/47301053542019</v>
      </c>
      <c r="E51" s="16" t="str">
        <f t="shared" si="9"/>
        <v>11583725</v>
      </c>
      <c r="F51" s="16" t="str">
        <f t="shared" si="3"/>
        <v>14/09/2024110</v>
      </c>
      <c r="G51" s="17" t="s">
        <v>696</v>
      </c>
    </row>
    <row r="52" spans="1:7" x14ac:dyDescent="0.25">
      <c r="A52" s="19">
        <v>2</v>
      </c>
      <c r="B52" s="16" t="str">
        <f t="shared" si="0"/>
        <v>PB01050039746</v>
      </c>
      <c r="C52" s="16" t="str">
        <f t="shared" si="1"/>
        <v>CÔNG TY CỔ PHẦN PHÁT TRIỂN HẠ TẦNG KỸ THUẬT BECAMEX - BÌNH PHƯỚC</v>
      </c>
      <c r="D52" s="16" t="str">
        <f t="shared" si="6"/>
        <v>Đường D8/N1M Trụ 20B/32/18H- NR 191D/47301053542019</v>
      </c>
      <c r="E52" s="16" t="str">
        <f t="shared" si="9"/>
        <v>11583564</v>
      </c>
      <c r="F52" s="16" t="str">
        <f t="shared" si="3"/>
        <v>14/09/2024110</v>
      </c>
      <c r="G52" s="17" t="s">
        <v>697</v>
      </c>
    </row>
    <row r="53" spans="1:7" x14ac:dyDescent="0.25">
      <c r="A53" s="19">
        <v>3</v>
      </c>
      <c r="B53" s="16" t="str">
        <f t="shared" si="0"/>
        <v>PB01050039745</v>
      </c>
      <c r="C53" s="16" t="str">
        <f t="shared" si="1"/>
        <v>CÔNG TY CỔ PHẦN PHÁT TRIỂN HẠ TẦNG KỸ THUẬT BECAMEX - BÌNH PHƯỚC</v>
      </c>
      <c r="D53" s="16" t="str">
        <f t="shared" si="6"/>
        <v>Đường D8/N1M Trụ 20B/32/18H- NR 191D/47301053542019</v>
      </c>
      <c r="E53" s="16" t="str">
        <f t="shared" si="9"/>
        <v>11582961</v>
      </c>
      <c r="F53" s="16" t="str">
        <f t="shared" si="3"/>
        <v>14/09/2024110</v>
      </c>
      <c r="G53" s="17" t="s">
        <v>698</v>
      </c>
    </row>
    <row r="54" spans="1:7" x14ac:dyDescent="0.25">
      <c r="A54" s="19">
        <v>4</v>
      </c>
      <c r="B54" s="16" t="str">
        <f t="shared" si="0"/>
        <v>PB01050039744</v>
      </c>
      <c r="C54" s="16" t="str">
        <f t="shared" si="1"/>
        <v>CÔNG TY CỔ PHẦN PHÁT TRIỂN HẠ TẦNG KỸ THUẬT BECAMEX - BÌNH PHƯỚC</v>
      </c>
      <c r="D54" s="16" t="str">
        <f t="shared" si="6"/>
        <v>Đường D8/N1M Trụ 20B/32/18H- NR 191D/47301053542019</v>
      </c>
      <c r="E54" s="16" t="str">
        <f t="shared" si="9"/>
        <v>11582714</v>
      </c>
      <c r="F54" s="16" t="str">
        <f t="shared" si="3"/>
        <v>14/09/2024110</v>
      </c>
      <c r="G54" s="17" t="s">
        <v>699</v>
      </c>
    </row>
    <row r="55" spans="1:7" x14ac:dyDescent="0.25">
      <c r="A55" s="19">
        <v>5</v>
      </c>
      <c r="B55" s="16" t="str">
        <f t="shared" si="0"/>
        <v>PB01050039743</v>
      </c>
      <c r="C55" s="16" t="str">
        <f t="shared" si="1"/>
        <v>CÔNG TY CỔ PHẦN PHÁT TRIỂN HẠ TẦNG KỸ THUẬT BECAMEX - BÌNH PHƯỚC</v>
      </c>
      <c r="D55" s="16" t="str">
        <f t="shared" si="6"/>
        <v>Đường D8/N1M Trụ 20B/32/18H- NR 191D/47301053542019</v>
      </c>
      <c r="E55" s="16" t="str">
        <f t="shared" si="9"/>
        <v>11581010</v>
      </c>
      <c r="F55" s="16" t="str">
        <f t="shared" si="3"/>
        <v>14/09/2024110</v>
      </c>
      <c r="G55" s="17" t="s">
        <v>700</v>
      </c>
    </row>
    <row r="56" spans="1:7" x14ac:dyDescent="0.25">
      <c r="A56" s="19">
        <v>6</v>
      </c>
      <c r="B56" s="16" t="str">
        <f t="shared" si="0"/>
        <v>PB01050039742</v>
      </c>
      <c r="C56" s="16" t="str">
        <f t="shared" si="1"/>
        <v>CÔNG TY CỔ PHẦN PHÁT TRIỂN HẠ TẦNG KỸ THUẬT BECAMEX - BÌNH PHƯỚC</v>
      </c>
      <c r="D56" s="16" t="str">
        <f t="shared" si="6"/>
        <v>Đường D8/N1M Trụ 20B/32/18H- NR 191D/47301053542019</v>
      </c>
      <c r="E56" s="16" t="str">
        <f t="shared" si="9"/>
        <v>11435364</v>
      </c>
      <c r="F56" s="16" t="str">
        <f t="shared" si="3"/>
        <v>14/09/2024110</v>
      </c>
      <c r="G56" s="17" t="s">
        <v>701</v>
      </c>
    </row>
    <row r="57" spans="1:7" ht="18.75" x14ac:dyDescent="0.25">
      <c r="A57" s="18" t="s">
        <v>436</v>
      </c>
      <c r="B57" s="16" t="str">
        <f t="shared" si="0"/>
        <v>PB01050039586</v>
      </c>
      <c r="C57" s="16" t="str">
        <f t="shared" si="1"/>
        <v>CÔNG TY CỔ PHẦN PHÁT TRIỂN HẠ TẦNG KỸ THUẬT BECAMEX - BÌNH PHƯỚC</v>
      </c>
      <c r="D57" s="16" t="str">
        <f t="shared" si="6"/>
        <v>Đường D8/N1M Trụ 20B/32/18H- NR 191D/47301053542019</v>
      </c>
      <c r="E57" s="16" t="str">
        <f t="shared" si="9"/>
        <v>11435501</v>
      </c>
      <c r="F57" s="16" t="str">
        <f t="shared" si="3"/>
        <v>14/09/2024110</v>
      </c>
      <c r="G57" s="17" t="s">
        <v>702</v>
      </c>
    </row>
    <row r="58" spans="1:7" ht="18.75" x14ac:dyDescent="0.25">
      <c r="A58" s="18" t="s">
        <v>437</v>
      </c>
      <c r="B58" s="16" t="str">
        <f t="shared" si="0"/>
        <v>PB01050039587</v>
      </c>
      <c r="C58" s="16" t="str">
        <f t="shared" si="1"/>
        <v>CÔNG TY CỔ PHẦN PHÁT TRIỂN HẠ TẦNG KỸ THUẬT BECAMEX - BÌNH PHƯỚC</v>
      </c>
      <c r="D58" s="16" t="str">
        <f t="shared" si="6"/>
        <v>Đường D8/N1M Trụ 20B/32/18H- NR 191D/47301053542019</v>
      </c>
      <c r="E58" s="16" t="str">
        <f t="shared" si="9"/>
        <v>11435128</v>
      </c>
      <c r="F58" s="16" t="str">
        <f t="shared" si="3"/>
        <v>14/09/2024110</v>
      </c>
      <c r="G58" s="17" t="s">
        <v>703</v>
      </c>
    </row>
    <row r="59" spans="1:7" ht="18.75" x14ac:dyDescent="0.25">
      <c r="A59" s="18" t="s">
        <v>438</v>
      </c>
      <c r="B59" s="16" t="str">
        <f t="shared" si="0"/>
        <v>PB01050039588</v>
      </c>
      <c r="C59" s="16" t="str">
        <f t="shared" si="1"/>
        <v>CÔNG TY CỔ PHẦN PHÁT TRIỂN HẠ TẦNG KỸ THUẬT BECAMEX - BÌNH PHƯỚC</v>
      </c>
      <c r="D59" s="16" t="str">
        <f t="shared" si="6"/>
        <v>Đường D8/N1M Trụ 20B/32/18H- NR 191D/47301053542019</v>
      </c>
      <c r="E59" s="16" t="str">
        <f t="shared" si="9"/>
        <v>11581284</v>
      </c>
      <c r="F59" s="16" t="str">
        <f t="shared" si="3"/>
        <v>14/09/2024110</v>
      </c>
      <c r="G59" s="17" t="s">
        <v>704</v>
      </c>
    </row>
    <row r="60" spans="1:7" ht="18.75" x14ac:dyDescent="0.25">
      <c r="A60" s="18" t="s">
        <v>439</v>
      </c>
      <c r="B60" s="16" t="str">
        <f t="shared" si="0"/>
        <v>PB01050039589</v>
      </c>
      <c r="C60" s="16" t="str">
        <f t="shared" si="1"/>
        <v>CÔNG TY CỔ PHẦN PHÁT TRIỂN HẠ TẦNG KỸ THUẬT BECAMEX - BÌNH PHƯỚC</v>
      </c>
      <c r="D60" s="16" t="str">
        <f t="shared" si="6"/>
        <v>Đường D8/N1M Trụ 20B/32/18H- NR 191D/47301053542019</v>
      </c>
      <c r="E60" s="16" t="str">
        <f t="shared" si="9"/>
        <v>11582892</v>
      </c>
      <c r="F60" s="16" t="str">
        <f t="shared" si="3"/>
        <v>14/09/2024110</v>
      </c>
      <c r="G60" s="17" t="s">
        <v>705</v>
      </c>
    </row>
    <row r="61" spans="1:7" x14ac:dyDescent="0.25">
      <c r="A61" s="19">
        <v>7</v>
      </c>
      <c r="B61" s="16" t="str">
        <f t="shared" si="0"/>
        <v>PB01050039728</v>
      </c>
      <c r="C61" s="16" t="str">
        <f t="shared" si="1"/>
        <v>CÔNG TY CỔ PHẦN PHÁT TRIỂN HẠ TẦNG KỸ THUẬT BECAMEX - BÌNH PHƯỚC</v>
      </c>
      <c r="D61" s="16" t="str">
        <f t="shared" si="6"/>
        <v>Đường D8/N1M Trụ 20B/32/18H- NR 191D/47301053542019</v>
      </c>
      <c r="E61" s="16" t="str">
        <f t="shared" si="9"/>
        <v>11584492</v>
      </c>
      <c r="F61" s="16" t="str">
        <f t="shared" si="3"/>
        <v>14/09/2024110</v>
      </c>
      <c r="G61" s="17" t="s">
        <v>706</v>
      </c>
    </row>
    <row r="62" spans="1:7" ht="18.75" x14ac:dyDescent="0.25">
      <c r="A62" s="18" t="s">
        <v>441</v>
      </c>
      <c r="B62" s="16" t="str">
        <f t="shared" si="0"/>
        <v>PB01050039594</v>
      </c>
      <c r="C62" s="16" t="str">
        <f t="shared" si="1"/>
        <v>CÔNG TY CỔ PHẦN PHÁT TRIỂN HẠ TẦNG KỸ THUẬT BECAMEX - BÌNH PHƯỚC</v>
      </c>
      <c r="D62" s="16" t="str">
        <f t="shared" si="6"/>
        <v>Đường D8/N1M Trụ 20B/32/18H- NR 191D/47301053542019</v>
      </c>
      <c r="E62" s="16" t="str">
        <f t="shared" si="9"/>
        <v>11580929</v>
      </c>
      <c r="F62" s="16" t="str">
        <f t="shared" si="3"/>
        <v>14/09/2024110</v>
      </c>
      <c r="G62" s="17" t="s">
        <v>707</v>
      </c>
    </row>
    <row r="63" spans="1:7" x14ac:dyDescent="0.25">
      <c r="A63" s="19">
        <v>8</v>
      </c>
      <c r="B63" s="16" t="str">
        <f t="shared" si="0"/>
        <v>PB01050039676</v>
      </c>
      <c r="C63" s="16" t="str">
        <f t="shared" si="1"/>
        <v>CÔNG TY CỔ PHẦN PHÁT TRIỂN HẠ TẦNG KỸ THUẬT BECAMEX - BÌNH PHƯỚC</v>
      </c>
      <c r="D63" s="16" t="str">
        <f t="shared" si="6"/>
        <v>Đường D8/N1M Trụ 20B/32/19H- NR 191D/47301053542019</v>
      </c>
      <c r="E63" s="16" t="str">
        <f t="shared" si="9"/>
        <v>11584515</v>
      </c>
      <c r="F63" s="16" t="str">
        <f t="shared" si="3"/>
        <v>16/09/2024110</v>
      </c>
      <c r="G63" s="17" t="s">
        <v>708</v>
      </c>
    </row>
    <row r="64" spans="1:7" x14ac:dyDescent="0.25">
      <c r="A64" s="19">
        <v>9</v>
      </c>
      <c r="B64" s="16" t="str">
        <f t="shared" si="0"/>
        <v>PB01050039741</v>
      </c>
      <c r="C64" s="16" t="str">
        <f t="shared" si="1"/>
        <v>CÔNG TY CỔ PHẦN PHÁT TRIỂN HẠ TẦNG KỸ THUẬT BECAMEX - BÌNH PHƯỚC</v>
      </c>
      <c r="D64" s="16" t="str">
        <f t="shared" si="6"/>
        <v>Đường D8/N1M Trụ 20B/32/19H- NR 191D/47301053542019</v>
      </c>
      <c r="E64" s="16" t="str">
        <f t="shared" si="9"/>
        <v>11582952</v>
      </c>
      <c r="F64" s="16" t="str">
        <f t="shared" si="3"/>
        <v>14/09/2024110</v>
      </c>
      <c r="G64" s="17" t="s">
        <v>709</v>
      </c>
    </row>
    <row r="65" spans="1:7" x14ac:dyDescent="0.25">
      <c r="A65" s="19">
        <v>10</v>
      </c>
      <c r="B65" s="16" t="str">
        <f t="shared" si="0"/>
        <v>PB01050039740</v>
      </c>
      <c r="C65" s="16" t="str">
        <f t="shared" si="1"/>
        <v>CÔNG TY CỔ PHẦN PHÁT TRIỂN HẠ TẦNG KỸ THUẬT BECAMEX - BÌNH PHƯỚC</v>
      </c>
      <c r="D65" s="16" t="str">
        <f t="shared" si="6"/>
        <v>Đường D8/N1M Trụ 20B/32/19H- NR 191D/47301053542019</v>
      </c>
      <c r="E65" s="16" t="str">
        <f t="shared" si="9"/>
        <v>11582984</v>
      </c>
      <c r="F65" s="16" t="str">
        <f t="shared" si="3"/>
        <v>14/09/2024110</v>
      </c>
      <c r="G65" s="17" t="s">
        <v>710</v>
      </c>
    </row>
    <row r="66" spans="1:7" x14ac:dyDescent="0.25">
      <c r="A66" s="19">
        <v>11</v>
      </c>
      <c r="B66" s="16" t="str">
        <f t="shared" si="0"/>
        <v>PB01050039739</v>
      </c>
      <c r="C66" s="16" t="str">
        <f t="shared" si="1"/>
        <v>CÔNG TY CỔ PHẦN PHÁT TRIỂN HẠ TẦNG KỸ THUẬT BECAMEX - BÌNH PHƯỚC</v>
      </c>
      <c r="D66" s="16" t="str">
        <f t="shared" si="6"/>
        <v>Đường D8/N1M Trụ 20B/32/19H- NR 191D/47301053542019</v>
      </c>
      <c r="E66" s="16" t="str">
        <f t="shared" si="9"/>
        <v>11581006</v>
      </c>
      <c r="F66" s="16" t="str">
        <f t="shared" si="3"/>
        <v>14/09/2024110</v>
      </c>
      <c r="G66" s="17" t="s">
        <v>711</v>
      </c>
    </row>
    <row r="67" spans="1:7" x14ac:dyDescent="0.25">
      <c r="A67" s="19">
        <v>12</v>
      </c>
      <c r="B67" s="16" t="str">
        <f t="shared" si="0"/>
        <v>PB01050039738</v>
      </c>
      <c r="C67" s="16" t="str">
        <f t="shared" si="1"/>
        <v>CÔNG TY CỔ PHẦN PHÁT TRIỂN HẠ TẦNG KỸ THUẬT BECAMEX - BÌNH PHƯỚC</v>
      </c>
      <c r="D67" s="16" t="str">
        <f t="shared" si="6"/>
        <v>Đường D8/N1M Trụ 20B/32/19H- NR 191D/47301053542019</v>
      </c>
      <c r="E67" s="16" t="str">
        <f t="shared" si="9"/>
        <v>11584512</v>
      </c>
      <c r="F67" s="16" t="str">
        <f t="shared" si="3"/>
        <v>14/09/2024110</v>
      </c>
      <c r="G67" s="17" t="s">
        <v>712</v>
      </c>
    </row>
    <row r="68" spans="1:7" ht="18.75" x14ac:dyDescent="0.25">
      <c r="A68" s="18" t="s">
        <v>460</v>
      </c>
      <c r="B68" s="16" t="str">
        <f t="shared" si="0"/>
        <v>PB01050039618</v>
      </c>
      <c r="C68" s="16" t="str">
        <f t="shared" si="1"/>
        <v>CÔNG TY CỔ PHẦN PHÁT TRIỂN HẠ TẦNG KỸ THUẬT BECAMEX - BÌNH PHƯỚC</v>
      </c>
      <c r="D68" s="16" t="str">
        <f t="shared" si="6"/>
        <v>Đường D8/N1M Trụ 20B/32/19H- NR 191D/47301053542019</v>
      </c>
      <c r="E68" s="16" t="str">
        <f t="shared" si="9"/>
        <v>11435136</v>
      </c>
      <c r="F68" s="16" t="str">
        <f t="shared" si="3"/>
        <v>16/09/2024110</v>
      </c>
      <c r="G68" s="17" t="s">
        <v>713</v>
      </c>
    </row>
    <row r="69" spans="1:7" ht="18.75" x14ac:dyDescent="0.25">
      <c r="A69" s="18" t="s">
        <v>442</v>
      </c>
      <c r="B69" s="16" t="str">
        <f t="shared" si="0"/>
        <v>PB01050039595</v>
      </c>
      <c r="C69" s="16" t="str">
        <f t="shared" si="1"/>
        <v>CÔNG TY CỔ PHẦN PHÁT TRIỂN HẠ TẦNG KỸ THUẬT BECAMEX - BÌNH PHƯỚC</v>
      </c>
      <c r="D69" s="16" t="str">
        <f t="shared" si="6"/>
        <v>Đường D8/N1M Trụ 20B/32/19H- NR 191D/47301053542019</v>
      </c>
      <c r="E69" s="16" t="str">
        <f t="shared" si="9"/>
        <v>11580292</v>
      </c>
      <c r="F69" s="16" t="str">
        <f t="shared" si="3"/>
        <v>14/09/2024110</v>
      </c>
      <c r="G69" s="17" t="s">
        <v>714</v>
      </c>
    </row>
    <row r="70" spans="1:7" ht="18.75" x14ac:dyDescent="0.25">
      <c r="A70" s="18" t="s">
        <v>443</v>
      </c>
      <c r="B70" s="16" t="str">
        <f t="shared" si="0"/>
        <v>PB01050039596</v>
      </c>
      <c r="C70" s="16" t="str">
        <f t="shared" si="1"/>
        <v>CÔNG TY CỔ PHẦN PHÁT TRIỂN HẠ TẦNG KỸ THUẬT BECAMEX - BÌNH PHƯỚC</v>
      </c>
      <c r="D70" s="16" t="str">
        <f t="shared" si="6"/>
        <v>Đường D8/N1M Trụ 20B/32/19H- NR 191D/47301053542019</v>
      </c>
      <c r="E70" s="16" t="str">
        <f t="shared" si="9"/>
        <v>11582715</v>
      </c>
      <c r="F70" s="16" t="str">
        <f t="shared" si="3"/>
        <v>14/09/2024110</v>
      </c>
      <c r="G70" s="17" t="s">
        <v>715</v>
      </c>
    </row>
    <row r="71" spans="1:7" ht="18.75" x14ac:dyDescent="0.25">
      <c r="A71" s="18" t="s">
        <v>444</v>
      </c>
      <c r="B71" s="16" t="str">
        <f t="shared" si="0"/>
        <v>PB01050039597</v>
      </c>
      <c r="C71" s="16" t="str">
        <f t="shared" si="1"/>
        <v>CÔNG TY CỔ PHẦN PHÁT TRIỂN HẠ TẦNG KỸ THUẬT BECAMEX - BÌNH PHƯỚC</v>
      </c>
      <c r="D71" s="16" t="str">
        <f t="shared" si="6"/>
        <v>Đường D8/N1M Trụ 20B/32/19H- NR 191D/47301053542019</v>
      </c>
      <c r="E71" s="16" t="str">
        <f t="shared" si="9"/>
        <v>11435215</v>
      </c>
      <c r="F71" s="16" t="str">
        <f t="shared" si="3"/>
        <v>14/09/2024110</v>
      </c>
      <c r="G71" s="17" t="s">
        <v>716</v>
      </c>
    </row>
    <row r="72" spans="1:7" ht="18.75" x14ac:dyDescent="0.25">
      <c r="A72" s="18" t="s">
        <v>445</v>
      </c>
      <c r="B72" s="16" t="str">
        <f t="shared" si="0"/>
        <v>PB01050039598</v>
      </c>
      <c r="C72" s="16" t="str">
        <f t="shared" si="1"/>
        <v>CÔNG TY CỔ PHẦN PHÁT TRIỂN HẠ TẦNG KỸ THUẬT BECAMEX - BÌNH PHƯỚC</v>
      </c>
      <c r="D72" s="16" t="str">
        <f t="shared" si="6"/>
        <v>Đường D8/N1M Trụ 20B/32/19H- NR 191D/47301053542019</v>
      </c>
      <c r="E72" s="16" t="str">
        <f t="shared" si="9"/>
        <v>11583324</v>
      </c>
      <c r="F72" s="16" t="str">
        <f t="shared" si="3"/>
        <v>14/09/2024110</v>
      </c>
      <c r="G72" s="17" t="s">
        <v>717</v>
      </c>
    </row>
    <row r="73" spans="1:7" x14ac:dyDescent="0.25">
      <c r="A73" s="19">
        <v>13</v>
      </c>
      <c r="B73" s="16" t="str">
        <f t="shared" si="0"/>
        <v>PB01050039729</v>
      </c>
      <c r="C73" s="16" t="str">
        <f t="shared" si="1"/>
        <v>CÔNG TY CỔ PHẦN PHÁT TRIỂN HẠ TẦNG KỸ THUẬT BECAMEX - BÌNH PHƯỚC</v>
      </c>
      <c r="D73" s="16" t="str">
        <f t="shared" si="6"/>
        <v>Đường D8/N1M Trụ 20B/32/19H- NR 191D/47301053542019</v>
      </c>
      <c r="E73" s="16" t="str">
        <f t="shared" si="9"/>
        <v>11583642</v>
      </c>
      <c r="F73" s="16" t="str">
        <f t="shared" si="3"/>
        <v>14/09/2024110</v>
      </c>
      <c r="G73" s="17" t="s">
        <v>718</v>
      </c>
    </row>
    <row r="74" spans="1:7" ht="18.75" x14ac:dyDescent="0.25">
      <c r="A74" s="18" t="s">
        <v>447</v>
      </c>
      <c r="B74" s="16" t="str">
        <f t="shared" si="0"/>
        <v>PB01050039601</v>
      </c>
      <c r="C74" s="16" t="str">
        <f t="shared" si="1"/>
        <v>CÔNG TY CỔ PHẦN PHÁT TRIỂN HẠ TẦNG KỸ THUẬT BECAMEX - BÌNH PHƯỚC</v>
      </c>
      <c r="D74" s="16" t="str">
        <f t="shared" si="6"/>
        <v>Đường D8/N1M Trụ 20B/32/19H- NR 191D/47301053542019</v>
      </c>
      <c r="E74" s="16" t="str">
        <f t="shared" si="9"/>
        <v>11581267</v>
      </c>
      <c r="F74" s="16" t="str">
        <f t="shared" si="3"/>
        <v>14/09/2024110</v>
      </c>
      <c r="G74" s="17" t="s">
        <v>719</v>
      </c>
    </row>
    <row r="75" spans="1:7" ht="18.75" x14ac:dyDescent="0.25">
      <c r="A75" s="18" t="s">
        <v>459</v>
      </c>
      <c r="B75" s="16" t="str">
        <f t="shared" ref="B75:B85" si="10">MID(G75,7,13)</f>
        <v>PB01050039617</v>
      </c>
      <c r="C75" s="16" t="str">
        <f t="shared" ref="C75:C85" si="11">MID(G75,23,64)</f>
        <v>CÔNG TY CỔ PHẦN PHÁT TRIỂN HẠ TẦNG KỸ THUẬT BECAMEX - BÌNH PHƯỚC</v>
      </c>
      <c r="D75" s="16" t="str">
        <f t="shared" si="6"/>
        <v>Đường D8/N1M Trụ 20B/32/20H- NR 191D/47301053542019</v>
      </c>
      <c r="E75" s="16" t="str">
        <f t="shared" si="9"/>
        <v>11435109</v>
      </c>
      <c r="F75" s="16" t="str">
        <f t="shared" si="3"/>
        <v>16/09/2024110</v>
      </c>
      <c r="G75" s="17" t="s">
        <v>720</v>
      </c>
    </row>
    <row r="76" spans="1:7" ht="18.75" x14ac:dyDescent="0.25">
      <c r="A76" s="18" t="s">
        <v>458</v>
      </c>
      <c r="B76" s="16" t="str">
        <f t="shared" si="10"/>
        <v>PB01050039616</v>
      </c>
      <c r="C76" s="16" t="str">
        <f t="shared" si="11"/>
        <v>CÔNG TY CỔ PHẦN PHÁT TRIỂN HẠ TẦNG KỸ THUẬT BECAMEX - BÌNH PHƯỚC</v>
      </c>
      <c r="D76" s="16" t="str">
        <f t="shared" si="6"/>
        <v>Đường D8/N1M Trụ 20B/32/20H- NR 191D/47301053542000</v>
      </c>
      <c r="E76" s="16" t="str">
        <f t="shared" si="9"/>
        <v>14210074</v>
      </c>
      <c r="F76" s="16" t="str">
        <f t="shared" ref="F76:F85" si="12">RIGHT(G76,13)</f>
        <v>16/09/2024110</v>
      </c>
      <c r="G76" s="17" t="s">
        <v>721</v>
      </c>
    </row>
    <row r="77" spans="1:7" ht="18.75" x14ac:dyDescent="0.25">
      <c r="A77" s="18" t="s">
        <v>448</v>
      </c>
      <c r="B77" s="16" t="str">
        <f t="shared" si="10"/>
        <v>PB01050039602</v>
      </c>
      <c r="C77" s="16" t="str">
        <f t="shared" si="11"/>
        <v>CÔNG TY CỔ PHẦN PHÁT TRIỂN HẠ TẦNG KỸ THUẬT BECAMEX - BÌNH PHƯỚC</v>
      </c>
      <c r="D77" s="16" t="str">
        <f t="shared" si="6"/>
        <v>Đường D8/N1M Trụ 20B/32/19H- NR 191D/47301053542019</v>
      </c>
      <c r="E77" s="16" t="str">
        <f t="shared" si="9"/>
        <v>11581345</v>
      </c>
      <c r="F77" s="16" t="str">
        <f>RIGHT(G77,12)</f>
        <v>14/09/202417</v>
      </c>
      <c r="G77" s="17" t="s">
        <v>722</v>
      </c>
    </row>
    <row r="78" spans="1:7" x14ac:dyDescent="0.25">
      <c r="A78" s="19">
        <v>14</v>
      </c>
      <c r="B78" s="16" t="str">
        <f t="shared" si="10"/>
        <v>PB01050039730</v>
      </c>
      <c r="C78" s="16" t="str">
        <f t="shared" si="11"/>
        <v>CÔNG TY CỔ PHẦN PHÁT TRIỂN HẠ TẦNG KỸ THUẬT BECAMEX - BÌNH PHƯỚC</v>
      </c>
      <c r="D78" s="16" t="str">
        <f t="shared" si="6"/>
        <v>Đường D8/N1M Trụ 20B/32/20H- NR 191D/47301053542019</v>
      </c>
      <c r="E78" s="16" t="str">
        <f t="shared" si="9"/>
        <v>11435117</v>
      </c>
      <c r="F78" s="16" t="str">
        <f t="shared" si="12"/>
        <v>14/09/2024110</v>
      </c>
      <c r="G78" s="17" t="s">
        <v>723</v>
      </c>
    </row>
    <row r="79" spans="1:7" x14ac:dyDescent="0.25">
      <c r="A79" s="19">
        <v>15</v>
      </c>
      <c r="B79" s="16" t="str">
        <f t="shared" si="10"/>
        <v>PB01050039731</v>
      </c>
      <c r="C79" s="16" t="str">
        <f t="shared" si="11"/>
        <v>CÔNG TY CỔ PHẦN PHÁT TRIỂN HẠ TẦNG KỸ THUẬT BECAMEX - BÌNH PHƯỚC</v>
      </c>
      <c r="D79" s="16" t="str">
        <f t="shared" si="6"/>
        <v>Đường D8/N1M Trụ 20B/32/20H- NR 191D/47301053542019</v>
      </c>
      <c r="E79" s="16" t="str">
        <f t="shared" si="9"/>
        <v>11438192</v>
      </c>
      <c r="F79" s="16" t="str">
        <f t="shared" si="12"/>
        <v>14/09/2024110</v>
      </c>
      <c r="G79" s="17" t="s">
        <v>724</v>
      </c>
    </row>
    <row r="80" spans="1:7" x14ac:dyDescent="0.25">
      <c r="A80" s="19">
        <v>16</v>
      </c>
      <c r="B80" s="16" t="str">
        <f t="shared" si="10"/>
        <v>PB01050039732</v>
      </c>
      <c r="C80" s="16" t="str">
        <f t="shared" si="11"/>
        <v>CÔNG TY CỔ PHẦN PHÁT TRIỂN HẠ TẦNG KỸ THUẬT BECAMEX - BÌNH PHƯỚC</v>
      </c>
      <c r="D80" s="16" t="str">
        <f t="shared" si="6"/>
        <v>Đường D8/N1M Trụ 20B/32/20H- NR 191D/47301053542019</v>
      </c>
      <c r="E80" s="16" t="str">
        <f t="shared" si="9"/>
        <v>11583277</v>
      </c>
      <c r="F80" s="16" t="str">
        <f t="shared" si="12"/>
        <v>14/09/2024110</v>
      </c>
      <c r="G80" s="17" t="s">
        <v>725</v>
      </c>
    </row>
    <row r="81" spans="1:7" x14ac:dyDescent="0.25">
      <c r="A81" s="19">
        <v>17</v>
      </c>
      <c r="B81" s="16" t="str">
        <f t="shared" si="10"/>
        <v>PB01050039733</v>
      </c>
      <c r="C81" s="16" t="str">
        <f t="shared" si="11"/>
        <v>CÔNG TY CỔ PHẦN PHÁT TRIỂN HẠ TẦNG KỸ THUẬT BECAMEX - BÌNH PHƯỚC</v>
      </c>
      <c r="D81" s="16" t="str">
        <f t="shared" si="6"/>
        <v>Đường D8/N1M Trụ 20B/32/21H- NR 191D/47301053542019</v>
      </c>
      <c r="E81" s="16" t="str">
        <f t="shared" si="9"/>
        <v>11583279</v>
      </c>
      <c r="F81" s="16" t="str">
        <f t="shared" si="12"/>
        <v>14/09/2024110</v>
      </c>
      <c r="G81" s="17" t="s">
        <v>726</v>
      </c>
    </row>
    <row r="82" spans="1:7" x14ac:dyDescent="0.25">
      <c r="A82" s="19">
        <v>18</v>
      </c>
      <c r="B82" s="16" t="str">
        <f t="shared" si="10"/>
        <v>PB01050039734</v>
      </c>
      <c r="C82" s="16" t="str">
        <f t="shared" si="11"/>
        <v>CÔNG TY CỔ PHẦN PHÁT TRIỂN HẠ TẦNG KỸ THUẬT BECAMEX - BÌNH PHƯỚC</v>
      </c>
      <c r="D82" s="16" t="str">
        <f t="shared" si="6"/>
        <v>Đường D8/N1M Trụ 20B/32/21H- NR 191D/47301053542019</v>
      </c>
      <c r="E82" s="16" t="str">
        <f t="shared" si="9"/>
        <v>11583278</v>
      </c>
      <c r="F82" s="16" t="str">
        <f t="shared" si="12"/>
        <v>14/09/2024110</v>
      </c>
      <c r="G82" s="17" t="s">
        <v>727</v>
      </c>
    </row>
    <row r="83" spans="1:7" x14ac:dyDescent="0.25">
      <c r="A83" s="19">
        <v>19</v>
      </c>
      <c r="B83" s="16" t="str">
        <f t="shared" si="10"/>
        <v>PB01050039735</v>
      </c>
      <c r="C83" s="16" t="str">
        <f t="shared" si="11"/>
        <v>CÔNG TY CỔ PHẦN PHÁT TRIỂN HẠ TẦNG KỸ THUẬT BECAMEX - BÌNH PHƯỚC</v>
      </c>
      <c r="D83" s="16" t="str">
        <f t="shared" si="6"/>
        <v>Đường D8/N1M Trụ 20B/32/21H- NR 191D/47301053542019</v>
      </c>
      <c r="E83" s="16" t="str">
        <f t="shared" si="9"/>
        <v>11435074</v>
      </c>
      <c r="F83" s="16" t="str">
        <f t="shared" si="12"/>
        <v>14/09/2024110</v>
      </c>
      <c r="G83" s="17" t="s">
        <v>728</v>
      </c>
    </row>
    <row r="84" spans="1:7" x14ac:dyDescent="0.25">
      <c r="A84" s="19">
        <v>20</v>
      </c>
      <c r="B84" s="16" t="str">
        <f t="shared" si="10"/>
        <v>PB01050039736</v>
      </c>
      <c r="C84" s="16" t="str">
        <f t="shared" si="11"/>
        <v>CÔNG TY CỔ PHẦN PHÁT TRIỂN HẠ TẦNG KỸ THUẬT BECAMEX - BÌNH PHƯỚC</v>
      </c>
      <c r="D84" s="16" t="str">
        <f t="shared" si="6"/>
        <v>Đường D8/N1M Trụ 20B/32/21H- NR 191D/47301053542019</v>
      </c>
      <c r="E84" s="16" t="str">
        <f t="shared" si="9"/>
        <v>11579928</v>
      </c>
      <c r="F84" s="16" t="str">
        <f t="shared" si="12"/>
        <v>14/09/2024110</v>
      </c>
      <c r="G84" s="17" t="s">
        <v>729</v>
      </c>
    </row>
    <row r="85" spans="1:7" x14ac:dyDescent="0.25">
      <c r="A85" s="19">
        <v>21</v>
      </c>
      <c r="B85" s="16" t="str">
        <f t="shared" si="10"/>
        <v>PB01050039737</v>
      </c>
      <c r="C85" s="16" t="str">
        <f t="shared" si="11"/>
        <v>CÔNG TY CỔ PHẦN PHÁT TRIỂN HẠ TẦNG KỸ THUẬT BECAMEX - BÌNH PHƯỚC</v>
      </c>
      <c r="D85" s="16" t="str">
        <f t="shared" si="6"/>
        <v>Đường D8/N1M Trụ 20B/32/21H- NR 191D/47301053542019</v>
      </c>
      <c r="E85" s="16" t="str">
        <f t="shared" si="9"/>
        <v>11436640</v>
      </c>
      <c r="F85" s="16" t="str">
        <f t="shared" si="12"/>
        <v>14/09/2024110</v>
      </c>
      <c r="G85" s="17" t="s">
        <v>730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30570A-E8AC-4B8F-96B8-8A08B0D83700}">
  <sheetPr codeName="Sheet3">
    <pageSetUpPr fitToPage="1"/>
  </sheetPr>
  <dimension ref="A1:CM129"/>
  <sheetViews>
    <sheetView topLeftCell="E1" workbookViewId="0"/>
  </sheetViews>
  <sheetFormatPr defaultColWidth="7" defaultRowHeight="18.75" x14ac:dyDescent="0.3"/>
  <cols>
    <col min="1" max="1" width="5.77734375" style="2" hidden="1" customWidth="1"/>
    <col min="2" max="2" width="45" style="1" hidden="1" customWidth="1"/>
    <col min="3" max="3" width="14.6640625" style="1" hidden="1" customWidth="1"/>
    <col min="4" max="4" width="10" style="1" hidden="1" customWidth="1"/>
    <col min="5" max="5" width="14.6640625" style="2" bestFit="1" customWidth="1"/>
    <col min="6" max="6" width="22.109375" style="2" customWidth="1"/>
    <col min="7" max="7" width="35.5546875" style="2" hidden="1" customWidth="1"/>
    <col min="8" max="8" width="24.21875" style="2" hidden="1" customWidth="1"/>
    <col min="9" max="9" width="11.5546875" style="2" hidden="1" customWidth="1"/>
    <col min="10" max="10" width="29.6640625" style="5" hidden="1" customWidth="1"/>
    <col min="11" max="11" width="54.21875" style="64" bestFit="1" customWidth="1"/>
    <col min="12" max="12" width="16" style="5" customWidth="1"/>
    <col min="13" max="13" width="12.21875" style="5" hidden="1" customWidth="1"/>
    <col min="14" max="14" width="21.21875" style="5" hidden="1" customWidth="1"/>
    <col min="15" max="15" width="19.33203125" style="1" hidden="1" customWidth="1"/>
    <col min="16" max="16" width="13.5546875" style="65" customWidth="1"/>
    <col min="17" max="17" width="12.77734375" style="5" bestFit="1" customWidth="1"/>
    <col min="18" max="18" width="16.44140625" style="5" customWidth="1"/>
    <col min="19" max="19" width="14.44140625" style="5" bestFit="1" customWidth="1"/>
    <col min="20" max="20" width="76.6640625" style="5" bestFit="1" customWidth="1"/>
    <col min="21" max="21" width="51.109375" style="5" bestFit="1" customWidth="1"/>
    <col min="22" max="22" width="13.21875" style="5" bestFit="1" customWidth="1"/>
    <col min="23" max="246" width="7" style="2"/>
    <col min="247" max="247" width="4.109375" style="2" customWidth="1"/>
    <col min="248" max="248" width="3.6640625" style="2" customWidth="1"/>
    <col min="249" max="249" width="4.88671875" style="2" customWidth="1"/>
    <col min="250" max="250" width="10.33203125" style="2" customWidth="1"/>
    <col min="251" max="251" width="13.33203125" style="2" customWidth="1"/>
    <col min="252" max="252" width="5.5546875" style="2" customWidth="1"/>
    <col min="253" max="253" width="6.44140625" style="2" customWidth="1"/>
    <col min="254" max="254" width="11.6640625" style="2" customWidth="1"/>
    <col min="255" max="255" width="10.44140625" style="2" customWidth="1"/>
    <col min="256" max="256" width="13.44140625" style="2" customWidth="1"/>
    <col min="257" max="502" width="7" style="2"/>
    <col min="503" max="503" width="4.109375" style="2" customWidth="1"/>
    <col min="504" max="504" width="3.6640625" style="2" customWidth="1"/>
    <col min="505" max="505" width="4.88671875" style="2" customWidth="1"/>
    <col min="506" max="506" width="10.33203125" style="2" customWidth="1"/>
    <col min="507" max="507" width="13.33203125" style="2" customWidth="1"/>
    <col min="508" max="508" width="5.5546875" style="2" customWidth="1"/>
    <col min="509" max="509" width="6.44140625" style="2" customWidth="1"/>
    <col min="510" max="510" width="11.6640625" style="2" customWidth="1"/>
    <col min="511" max="511" width="10.44140625" style="2" customWidth="1"/>
    <col min="512" max="512" width="13.44140625" style="2" customWidth="1"/>
    <col min="513" max="758" width="7" style="2"/>
    <col min="759" max="759" width="4.109375" style="2" customWidth="1"/>
    <col min="760" max="760" width="3.6640625" style="2" customWidth="1"/>
    <col min="761" max="761" width="4.88671875" style="2" customWidth="1"/>
    <col min="762" max="762" width="10.33203125" style="2" customWidth="1"/>
    <col min="763" max="763" width="13.33203125" style="2" customWidth="1"/>
    <col min="764" max="764" width="5.5546875" style="2" customWidth="1"/>
    <col min="765" max="765" width="6.44140625" style="2" customWidth="1"/>
    <col min="766" max="766" width="11.6640625" style="2" customWidth="1"/>
    <col min="767" max="767" width="10.44140625" style="2" customWidth="1"/>
    <col min="768" max="768" width="13.44140625" style="2" customWidth="1"/>
    <col min="769" max="1014" width="7" style="2"/>
    <col min="1015" max="1015" width="4.109375" style="2" customWidth="1"/>
    <col min="1016" max="1016" width="3.6640625" style="2" customWidth="1"/>
    <col min="1017" max="1017" width="4.88671875" style="2" customWidth="1"/>
    <col min="1018" max="1018" width="10.33203125" style="2" customWidth="1"/>
    <col min="1019" max="1019" width="13.33203125" style="2" customWidth="1"/>
    <col min="1020" max="1020" width="5.5546875" style="2" customWidth="1"/>
    <col min="1021" max="1021" width="6.44140625" style="2" customWidth="1"/>
    <col min="1022" max="1022" width="11.6640625" style="2" customWidth="1"/>
    <col min="1023" max="1023" width="10.44140625" style="2" customWidth="1"/>
    <col min="1024" max="1024" width="13.44140625" style="2" customWidth="1"/>
    <col min="1025" max="1270" width="7" style="2"/>
    <col min="1271" max="1271" width="4.109375" style="2" customWidth="1"/>
    <col min="1272" max="1272" width="3.6640625" style="2" customWidth="1"/>
    <col min="1273" max="1273" width="4.88671875" style="2" customWidth="1"/>
    <col min="1274" max="1274" width="10.33203125" style="2" customWidth="1"/>
    <col min="1275" max="1275" width="13.33203125" style="2" customWidth="1"/>
    <col min="1276" max="1276" width="5.5546875" style="2" customWidth="1"/>
    <col min="1277" max="1277" width="6.44140625" style="2" customWidth="1"/>
    <col min="1278" max="1278" width="11.6640625" style="2" customWidth="1"/>
    <col min="1279" max="1279" width="10.44140625" style="2" customWidth="1"/>
    <col min="1280" max="1280" width="13.44140625" style="2" customWidth="1"/>
    <col min="1281" max="1526" width="7" style="2"/>
    <col min="1527" max="1527" width="4.109375" style="2" customWidth="1"/>
    <col min="1528" max="1528" width="3.6640625" style="2" customWidth="1"/>
    <col min="1529" max="1529" width="4.88671875" style="2" customWidth="1"/>
    <col min="1530" max="1530" width="10.33203125" style="2" customWidth="1"/>
    <col min="1531" max="1531" width="13.33203125" style="2" customWidth="1"/>
    <col min="1532" max="1532" width="5.5546875" style="2" customWidth="1"/>
    <col min="1533" max="1533" width="6.44140625" style="2" customWidth="1"/>
    <col min="1534" max="1534" width="11.6640625" style="2" customWidth="1"/>
    <col min="1535" max="1535" width="10.44140625" style="2" customWidth="1"/>
    <col min="1536" max="1536" width="13.44140625" style="2" customWidth="1"/>
    <col min="1537" max="1782" width="7" style="2"/>
    <col min="1783" max="1783" width="4.109375" style="2" customWidth="1"/>
    <col min="1784" max="1784" width="3.6640625" style="2" customWidth="1"/>
    <col min="1785" max="1785" width="4.88671875" style="2" customWidth="1"/>
    <col min="1786" max="1786" width="10.33203125" style="2" customWidth="1"/>
    <col min="1787" max="1787" width="13.33203125" style="2" customWidth="1"/>
    <col min="1788" max="1788" width="5.5546875" style="2" customWidth="1"/>
    <col min="1789" max="1789" width="6.44140625" style="2" customWidth="1"/>
    <col min="1790" max="1790" width="11.6640625" style="2" customWidth="1"/>
    <col min="1791" max="1791" width="10.44140625" style="2" customWidth="1"/>
    <col min="1792" max="1792" width="13.44140625" style="2" customWidth="1"/>
    <col min="1793" max="2038" width="7" style="2"/>
    <col min="2039" max="2039" width="4.109375" style="2" customWidth="1"/>
    <col min="2040" max="2040" width="3.6640625" style="2" customWidth="1"/>
    <col min="2041" max="2041" width="4.88671875" style="2" customWidth="1"/>
    <col min="2042" max="2042" width="10.33203125" style="2" customWidth="1"/>
    <col min="2043" max="2043" width="13.33203125" style="2" customWidth="1"/>
    <col min="2044" max="2044" width="5.5546875" style="2" customWidth="1"/>
    <col min="2045" max="2045" width="6.44140625" style="2" customWidth="1"/>
    <col min="2046" max="2046" width="11.6640625" style="2" customWidth="1"/>
    <col min="2047" max="2047" width="10.44140625" style="2" customWidth="1"/>
    <col min="2048" max="2048" width="13.44140625" style="2" customWidth="1"/>
    <col min="2049" max="2294" width="7" style="2"/>
    <col min="2295" max="2295" width="4.109375" style="2" customWidth="1"/>
    <col min="2296" max="2296" width="3.6640625" style="2" customWidth="1"/>
    <col min="2297" max="2297" width="4.88671875" style="2" customWidth="1"/>
    <col min="2298" max="2298" width="10.33203125" style="2" customWidth="1"/>
    <col min="2299" max="2299" width="13.33203125" style="2" customWidth="1"/>
    <col min="2300" max="2300" width="5.5546875" style="2" customWidth="1"/>
    <col min="2301" max="2301" width="6.44140625" style="2" customWidth="1"/>
    <col min="2302" max="2302" width="11.6640625" style="2" customWidth="1"/>
    <col min="2303" max="2303" width="10.44140625" style="2" customWidth="1"/>
    <col min="2304" max="2304" width="13.44140625" style="2" customWidth="1"/>
    <col min="2305" max="2550" width="7" style="2"/>
    <col min="2551" max="2551" width="4.109375" style="2" customWidth="1"/>
    <col min="2552" max="2552" width="3.6640625" style="2" customWidth="1"/>
    <col min="2553" max="2553" width="4.88671875" style="2" customWidth="1"/>
    <col min="2554" max="2554" width="10.33203125" style="2" customWidth="1"/>
    <col min="2555" max="2555" width="13.33203125" style="2" customWidth="1"/>
    <col min="2556" max="2556" width="5.5546875" style="2" customWidth="1"/>
    <col min="2557" max="2557" width="6.44140625" style="2" customWidth="1"/>
    <col min="2558" max="2558" width="11.6640625" style="2" customWidth="1"/>
    <col min="2559" max="2559" width="10.44140625" style="2" customWidth="1"/>
    <col min="2560" max="2560" width="13.44140625" style="2" customWidth="1"/>
    <col min="2561" max="2806" width="7" style="2"/>
    <col min="2807" max="2807" width="4.109375" style="2" customWidth="1"/>
    <col min="2808" max="2808" width="3.6640625" style="2" customWidth="1"/>
    <col min="2809" max="2809" width="4.88671875" style="2" customWidth="1"/>
    <col min="2810" max="2810" width="10.33203125" style="2" customWidth="1"/>
    <col min="2811" max="2811" width="13.33203125" style="2" customWidth="1"/>
    <col min="2812" max="2812" width="5.5546875" style="2" customWidth="1"/>
    <col min="2813" max="2813" width="6.44140625" style="2" customWidth="1"/>
    <col min="2814" max="2814" width="11.6640625" style="2" customWidth="1"/>
    <col min="2815" max="2815" width="10.44140625" style="2" customWidth="1"/>
    <col min="2816" max="2816" width="13.44140625" style="2" customWidth="1"/>
    <col min="2817" max="3062" width="7" style="2"/>
    <col min="3063" max="3063" width="4.109375" style="2" customWidth="1"/>
    <col min="3064" max="3064" width="3.6640625" style="2" customWidth="1"/>
    <col min="3065" max="3065" width="4.88671875" style="2" customWidth="1"/>
    <col min="3066" max="3066" width="10.33203125" style="2" customWidth="1"/>
    <col min="3067" max="3067" width="13.33203125" style="2" customWidth="1"/>
    <col min="3068" max="3068" width="5.5546875" style="2" customWidth="1"/>
    <col min="3069" max="3069" width="6.44140625" style="2" customWidth="1"/>
    <col min="3070" max="3070" width="11.6640625" style="2" customWidth="1"/>
    <col min="3071" max="3071" width="10.44140625" style="2" customWidth="1"/>
    <col min="3072" max="3072" width="13.44140625" style="2" customWidth="1"/>
    <col min="3073" max="3318" width="7" style="2"/>
    <col min="3319" max="3319" width="4.109375" style="2" customWidth="1"/>
    <col min="3320" max="3320" width="3.6640625" style="2" customWidth="1"/>
    <col min="3321" max="3321" width="4.88671875" style="2" customWidth="1"/>
    <col min="3322" max="3322" width="10.33203125" style="2" customWidth="1"/>
    <col min="3323" max="3323" width="13.33203125" style="2" customWidth="1"/>
    <col min="3324" max="3324" width="5.5546875" style="2" customWidth="1"/>
    <col min="3325" max="3325" width="6.44140625" style="2" customWidth="1"/>
    <col min="3326" max="3326" width="11.6640625" style="2" customWidth="1"/>
    <col min="3327" max="3327" width="10.44140625" style="2" customWidth="1"/>
    <col min="3328" max="3328" width="13.44140625" style="2" customWidth="1"/>
    <col min="3329" max="3574" width="7" style="2"/>
    <col min="3575" max="3575" width="4.109375" style="2" customWidth="1"/>
    <col min="3576" max="3576" width="3.6640625" style="2" customWidth="1"/>
    <col min="3577" max="3577" width="4.88671875" style="2" customWidth="1"/>
    <col min="3578" max="3578" width="10.33203125" style="2" customWidth="1"/>
    <col min="3579" max="3579" width="13.33203125" style="2" customWidth="1"/>
    <col min="3580" max="3580" width="5.5546875" style="2" customWidth="1"/>
    <col min="3581" max="3581" width="6.44140625" style="2" customWidth="1"/>
    <col min="3582" max="3582" width="11.6640625" style="2" customWidth="1"/>
    <col min="3583" max="3583" width="10.44140625" style="2" customWidth="1"/>
    <col min="3584" max="3584" width="13.44140625" style="2" customWidth="1"/>
    <col min="3585" max="3830" width="7" style="2"/>
    <col min="3831" max="3831" width="4.109375" style="2" customWidth="1"/>
    <col min="3832" max="3832" width="3.6640625" style="2" customWidth="1"/>
    <col min="3833" max="3833" width="4.88671875" style="2" customWidth="1"/>
    <col min="3834" max="3834" width="10.33203125" style="2" customWidth="1"/>
    <col min="3835" max="3835" width="13.33203125" style="2" customWidth="1"/>
    <col min="3836" max="3836" width="5.5546875" style="2" customWidth="1"/>
    <col min="3837" max="3837" width="6.44140625" style="2" customWidth="1"/>
    <col min="3838" max="3838" width="11.6640625" style="2" customWidth="1"/>
    <col min="3839" max="3839" width="10.44140625" style="2" customWidth="1"/>
    <col min="3840" max="3840" width="13.44140625" style="2" customWidth="1"/>
    <col min="3841" max="4086" width="7" style="2"/>
    <col min="4087" max="4087" width="4.109375" style="2" customWidth="1"/>
    <col min="4088" max="4088" width="3.6640625" style="2" customWidth="1"/>
    <col min="4089" max="4089" width="4.88671875" style="2" customWidth="1"/>
    <col min="4090" max="4090" width="10.33203125" style="2" customWidth="1"/>
    <col min="4091" max="4091" width="13.33203125" style="2" customWidth="1"/>
    <col min="4092" max="4092" width="5.5546875" style="2" customWidth="1"/>
    <col min="4093" max="4093" width="6.44140625" style="2" customWidth="1"/>
    <col min="4094" max="4094" width="11.6640625" style="2" customWidth="1"/>
    <col min="4095" max="4095" width="10.44140625" style="2" customWidth="1"/>
    <col min="4096" max="4096" width="13.44140625" style="2" customWidth="1"/>
    <col min="4097" max="4342" width="7" style="2"/>
    <col min="4343" max="4343" width="4.109375" style="2" customWidth="1"/>
    <col min="4344" max="4344" width="3.6640625" style="2" customWidth="1"/>
    <col min="4345" max="4345" width="4.88671875" style="2" customWidth="1"/>
    <col min="4346" max="4346" width="10.33203125" style="2" customWidth="1"/>
    <col min="4347" max="4347" width="13.33203125" style="2" customWidth="1"/>
    <col min="4348" max="4348" width="5.5546875" style="2" customWidth="1"/>
    <col min="4349" max="4349" width="6.44140625" style="2" customWidth="1"/>
    <col min="4350" max="4350" width="11.6640625" style="2" customWidth="1"/>
    <col min="4351" max="4351" width="10.44140625" style="2" customWidth="1"/>
    <col min="4352" max="4352" width="13.44140625" style="2" customWidth="1"/>
    <col min="4353" max="4598" width="7" style="2"/>
    <col min="4599" max="4599" width="4.109375" style="2" customWidth="1"/>
    <col min="4600" max="4600" width="3.6640625" style="2" customWidth="1"/>
    <col min="4601" max="4601" width="4.88671875" style="2" customWidth="1"/>
    <col min="4602" max="4602" width="10.33203125" style="2" customWidth="1"/>
    <col min="4603" max="4603" width="13.33203125" style="2" customWidth="1"/>
    <col min="4604" max="4604" width="5.5546875" style="2" customWidth="1"/>
    <col min="4605" max="4605" width="6.44140625" style="2" customWidth="1"/>
    <col min="4606" max="4606" width="11.6640625" style="2" customWidth="1"/>
    <col min="4607" max="4607" width="10.44140625" style="2" customWidth="1"/>
    <col min="4608" max="4608" width="13.44140625" style="2" customWidth="1"/>
    <col min="4609" max="4854" width="7" style="2"/>
    <col min="4855" max="4855" width="4.109375" style="2" customWidth="1"/>
    <col min="4856" max="4856" width="3.6640625" style="2" customWidth="1"/>
    <col min="4857" max="4857" width="4.88671875" style="2" customWidth="1"/>
    <col min="4858" max="4858" width="10.33203125" style="2" customWidth="1"/>
    <col min="4859" max="4859" width="13.33203125" style="2" customWidth="1"/>
    <col min="4860" max="4860" width="5.5546875" style="2" customWidth="1"/>
    <col min="4861" max="4861" width="6.44140625" style="2" customWidth="1"/>
    <col min="4862" max="4862" width="11.6640625" style="2" customWidth="1"/>
    <col min="4863" max="4863" width="10.44140625" style="2" customWidth="1"/>
    <col min="4864" max="4864" width="13.44140625" style="2" customWidth="1"/>
    <col min="4865" max="5110" width="7" style="2"/>
    <col min="5111" max="5111" width="4.109375" style="2" customWidth="1"/>
    <col min="5112" max="5112" width="3.6640625" style="2" customWidth="1"/>
    <col min="5113" max="5113" width="4.88671875" style="2" customWidth="1"/>
    <col min="5114" max="5114" width="10.33203125" style="2" customWidth="1"/>
    <col min="5115" max="5115" width="13.33203125" style="2" customWidth="1"/>
    <col min="5116" max="5116" width="5.5546875" style="2" customWidth="1"/>
    <col min="5117" max="5117" width="6.44140625" style="2" customWidth="1"/>
    <col min="5118" max="5118" width="11.6640625" style="2" customWidth="1"/>
    <col min="5119" max="5119" width="10.44140625" style="2" customWidth="1"/>
    <col min="5120" max="5120" width="13.44140625" style="2" customWidth="1"/>
    <col min="5121" max="5366" width="7" style="2"/>
    <col min="5367" max="5367" width="4.109375" style="2" customWidth="1"/>
    <col min="5368" max="5368" width="3.6640625" style="2" customWidth="1"/>
    <col min="5369" max="5369" width="4.88671875" style="2" customWidth="1"/>
    <col min="5370" max="5370" width="10.33203125" style="2" customWidth="1"/>
    <col min="5371" max="5371" width="13.33203125" style="2" customWidth="1"/>
    <col min="5372" max="5372" width="5.5546875" style="2" customWidth="1"/>
    <col min="5373" max="5373" width="6.44140625" style="2" customWidth="1"/>
    <col min="5374" max="5374" width="11.6640625" style="2" customWidth="1"/>
    <col min="5375" max="5375" width="10.44140625" style="2" customWidth="1"/>
    <col min="5376" max="5376" width="13.44140625" style="2" customWidth="1"/>
    <col min="5377" max="5622" width="7" style="2"/>
    <col min="5623" max="5623" width="4.109375" style="2" customWidth="1"/>
    <col min="5624" max="5624" width="3.6640625" style="2" customWidth="1"/>
    <col min="5625" max="5625" width="4.88671875" style="2" customWidth="1"/>
    <col min="5626" max="5626" width="10.33203125" style="2" customWidth="1"/>
    <col min="5627" max="5627" width="13.33203125" style="2" customWidth="1"/>
    <col min="5628" max="5628" width="5.5546875" style="2" customWidth="1"/>
    <col min="5629" max="5629" width="6.44140625" style="2" customWidth="1"/>
    <col min="5630" max="5630" width="11.6640625" style="2" customWidth="1"/>
    <col min="5631" max="5631" width="10.44140625" style="2" customWidth="1"/>
    <col min="5632" max="5632" width="13.44140625" style="2" customWidth="1"/>
    <col min="5633" max="5878" width="7" style="2"/>
    <col min="5879" max="5879" width="4.109375" style="2" customWidth="1"/>
    <col min="5880" max="5880" width="3.6640625" style="2" customWidth="1"/>
    <col min="5881" max="5881" width="4.88671875" style="2" customWidth="1"/>
    <col min="5882" max="5882" width="10.33203125" style="2" customWidth="1"/>
    <col min="5883" max="5883" width="13.33203125" style="2" customWidth="1"/>
    <col min="5884" max="5884" width="5.5546875" style="2" customWidth="1"/>
    <col min="5885" max="5885" width="6.44140625" style="2" customWidth="1"/>
    <col min="5886" max="5886" width="11.6640625" style="2" customWidth="1"/>
    <col min="5887" max="5887" width="10.44140625" style="2" customWidth="1"/>
    <col min="5888" max="5888" width="13.44140625" style="2" customWidth="1"/>
    <col min="5889" max="6134" width="7" style="2"/>
    <col min="6135" max="6135" width="4.109375" style="2" customWidth="1"/>
    <col min="6136" max="6136" width="3.6640625" style="2" customWidth="1"/>
    <col min="6137" max="6137" width="4.88671875" style="2" customWidth="1"/>
    <col min="6138" max="6138" width="10.33203125" style="2" customWidth="1"/>
    <col min="6139" max="6139" width="13.33203125" style="2" customWidth="1"/>
    <col min="6140" max="6140" width="5.5546875" style="2" customWidth="1"/>
    <col min="6141" max="6141" width="6.44140625" style="2" customWidth="1"/>
    <col min="6142" max="6142" width="11.6640625" style="2" customWidth="1"/>
    <col min="6143" max="6143" width="10.44140625" style="2" customWidth="1"/>
    <col min="6144" max="6144" width="13.44140625" style="2" customWidth="1"/>
    <col min="6145" max="6390" width="7" style="2"/>
    <col min="6391" max="6391" width="4.109375" style="2" customWidth="1"/>
    <col min="6392" max="6392" width="3.6640625" style="2" customWidth="1"/>
    <col min="6393" max="6393" width="4.88671875" style="2" customWidth="1"/>
    <col min="6394" max="6394" width="10.33203125" style="2" customWidth="1"/>
    <col min="6395" max="6395" width="13.33203125" style="2" customWidth="1"/>
    <col min="6396" max="6396" width="5.5546875" style="2" customWidth="1"/>
    <col min="6397" max="6397" width="6.44140625" style="2" customWidth="1"/>
    <col min="6398" max="6398" width="11.6640625" style="2" customWidth="1"/>
    <col min="6399" max="6399" width="10.44140625" style="2" customWidth="1"/>
    <col min="6400" max="6400" width="13.44140625" style="2" customWidth="1"/>
    <col min="6401" max="6646" width="7" style="2"/>
    <col min="6647" max="6647" width="4.109375" style="2" customWidth="1"/>
    <col min="6648" max="6648" width="3.6640625" style="2" customWidth="1"/>
    <col min="6649" max="6649" width="4.88671875" style="2" customWidth="1"/>
    <col min="6650" max="6650" width="10.33203125" style="2" customWidth="1"/>
    <col min="6651" max="6651" width="13.33203125" style="2" customWidth="1"/>
    <col min="6652" max="6652" width="5.5546875" style="2" customWidth="1"/>
    <col min="6653" max="6653" width="6.44140625" style="2" customWidth="1"/>
    <col min="6654" max="6654" width="11.6640625" style="2" customWidth="1"/>
    <col min="6655" max="6655" width="10.44140625" style="2" customWidth="1"/>
    <col min="6656" max="6656" width="13.44140625" style="2" customWidth="1"/>
    <col min="6657" max="6902" width="7" style="2"/>
    <col min="6903" max="6903" width="4.109375" style="2" customWidth="1"/>
    <col min="6904" max="6904" width="3.6640625" style="2" customWidth="1"/>
    <col min="6905" max="6905" width="4.88671875" style="2" customWidth="1"/>
    <col min="6906" max="6906" width="10.33203125" style="2" customWidth="1"/>
    <col min="6907" max="6907" width="13.33203125" style="2" customWidth="1"/>
    <col min="6908" max="6908" width="5.5546875" style="2" customWidth="1"/>
    <col min="6909" max="6909" width="6.44140625" style="2" customWidth="1"/>
    <col min="6910" max="6910" width="11.6640625" style="2" customWidth="1"/>
    <col min="6911" max="6911" width="10.44140625" style="2" customWidth="1"/>
    <col min="6912" max="6912" width="13.44140625" style="2" customWidth="1"/>
    <col min="6913" max="7158" width="7" style="2"/>
    <col min="7159" max="7159" width="4.109375" style="2" customWidth="1"/>
    <col min="7160" max="7160" width="3.6640625" style="2" customWidth="1"/>
    <col min="7161" max="7161" width="4.88671875" style="2" customWidth="1"/>
    <col min="7162" max="7162" width="10.33203125" style="2" customWidth="1"/>
    <col min="7163" max="7163" width="13.33203125" style="2" customWidth="1"/>
    <col min="7164" max="7164" width="5.5546875" style="2" customWidth="1"/>
    <col min="7165" max="7165" width="6.44140625" style="2" customWidth="1"/>
    <col min="7166" max="7166" width="11.6640625" style="2" customWidth="1"/>
    <col min="7167" max="7167" width="10.44140625" style="2" customWidth="1"/>
    <col min="7168" max="7168" width="13.44140625" style="2" customWidth="1"/>
    <col min="7169" max="7414" width="7" style="2"/>
    <col min="7415" max="7415" width="4.109375" style="2" customWidth="1"/>
    <col min="7416" max="7416" width="3.6640625" style="2" customWidth="1"/>
    <col min="7417" max="7417" width="4.88671875" style="2" customWidth="1"/>
    <col min="7418" max="7418" width="10.33203125" style="2" customWidth="1"/>
    <col min="7419" max="7419" width="13.33203125" style="2" customWidth="1"/>
    <col min="7420" max="7420" width="5.5546875" style="2" customWidth="1"/>
    <col min="7421" max="7421" width="6.44140625" style="2" customWidth="1"/>
    <col min="7422" max="7422" width="11.6640625" style="2" customWidth="1"/>
    <col min="7423" max="7423" width="10.44140625" style="2" customWidth="1"/>
    <col min="7424" max="7424" width="13.44140625" style="2" customWidth="1"/>
    <col min="7425" max="7670" width="7" style="2"/>
    <col min="7671" max="7671" width="4.109375" style="2" customWidth="1"/>
    <col min="7672" max="7672" width="3.6640625" style="2" customWidth="1"/>
    <col min="7673" max="7673" width="4.88671875" style="2" customWidth="1"/>
    <col min="7674" max="7674" width="10.33203125" style="2" customWidth="1"/>
    <col min="7675" max="7675" width="13.33203125" style="2" customWidth="1"/>
    <col min="7676" max="7676" width="5.5546875" style="2" customWidth="1"/>
    <col min="7677" max="7677" width="6.44140625" style="2" customWidth="1"/>
    <col min="7678" max="7678" width="11.6640625" style="2" customWidth="1"/>
    <col min="7679" max="7679" width="10.44140625" style="2" customWidth="1"/>
    <col min="7680" max="7680" width="13.44140625" style="2" customWidth="1"/>
    <col min="7681" max="7926" width="7" style="2"/>
    <col min="7927" max="7927" width="4.109375" style="2" customWidth="1"/>
    <col min="7928" max="7928" width="3.6640625" style="2" customWidth="1"/>
    <col min="7929" max="7929" width="4.88671875" style="2" customWidth="1"/>
    <col min="7930" max="7930" width="10.33203125" style="2" customWidth="1"/>
    <col min="7931" max="7931" width="13.33203125" style="2" customWidth="1"/>
    <col min="7932" max="7932" width="5.5546875" style="2" customWidth="1"/>
    <col min="7933" max="7933" width="6.44140625" style="2" customWidth="1"/>
    <col min="7934" max="7934" width="11.6640625" style="2" customWidth="1"/>
    <col min="7935" max="7935" width="10.44140625" style="2" customWidth="1"/>
    <col min="7936" max="7936" width="13.44140625" style="2" customWidth="1"/>
    <col min="7937" max="8182" width="7" style="2"/>
    <col min="8183" max="8183" width="4.109375" style="2" customWidth="1"/>
    <col min="8184" max="8184" width="3.6640625" style="2" customWidth="1"/>
    <col min="8185" max="8185" width="4.88671875" style="2" customWidth="1"/>
    <col min="8186" max="8186" width="10.33203125" style="2" customWidth="1"/>
    <col min="8187" max="8187" width="13.33203125" style="2" customWidth="1"/>
    <col min="8188" max="8188" width="5.5546875" style="2" customWidth="1"/>
    <col min="8189" max="8189" width="6.44140625" style="2" customWidth="1"/>
    <col min="8190" max="8190" width="11.6640625" style="2" customWidth="1"/>
    <col min="8191" max="8191" width="10.44140625" style="2" customWidth="1"/>
    <col min="8192" max="8192" width="13.44140625" style="2" customWidth="1"/>
    <col min="8193" max="8438" width="7" style="2"/>
    <col min="8439" max="8439" width="4.109375" style="2" customWidth="1"/>
    <col min="8440" max="8440" width="3.6640625" style="2" customWidth="1"/>
    <col min="8441" max="8441" width="4.88671875" style="2" customWidth="1"/>
    <col min="8442" max="8442" width="10.33203125" style="2" customWidth="1"/>
    <col min="8443" max="8443" width="13.33203125" style="2" customWidth="1"/>
    <col min="8444" max="8444" width="5.5546875" style="2" customWidth="1"/>
    <col min="8445" max="8445" width="6.44140625" style="2" customWidth="1"/>
    <col min="8446" max="8446" width="11.6640625" style="2" customWidth="1"/>
    <col min="8447" max="8447" width="10.44140625" style="2" customWidth="1"/>
    <col min="8448" max="8448" width="13.44140625" style="2" customWidth="1"/>
    <col min="8449" max="8694" width="7" style="2"/>
    <col min="8695" max="8695" width="4.109375" style="2" customWidth="1"/>
    <col min="8696" max="8696" width="3.6640625" style="2" customWidth="1"/>
    <col min="8697" max="8697" width="4.88671875" style="2" customWidth="1"/>
    <col min="8698" max="8698" width="10.33203125" style="2" customWidth="1"/>
    <col min="8699" max="8699" width="13.33203125" style="2" customWidth="1"/>
    <col min="8700" max="8700" width="5.5546875" style="2" customWidth="1"/>
    <col min="8701" max="8701" width="6.44140625" style="2" customWidth="1"/>
    <col min="8702" max="8702" width="11.6640625" style="2" customWidth="1"/>
    <col min="8703" max="8703" width="10.44140625" style="2" customWidth="1"/>
    <col min="8704" max="8704" width="13.44140625" style="2" customWidth="1"/>
    <col min="8705" max="8950" width="7" style="2"/>
    <col min="8951" max="8951" width="4.109375" style="2" customWidth="1"/>
    <col min="8952" max="8952" width="3.6640625" style="2" customWidth="1"/>
    <col min="8953" max="8953" width="4.88671875" style="2" customWidth="1"/>
    <col min="8954" max="8954" width="10.33203125" style="2" customWidth="1"/>
    <col min="8955" max="8955" width="13.33203125" style="2" customWidth="1"/>
    <col min="8956" max="8956" width="5.5546875" style="2" customWidth="1"/>
    <col min="8957" max="8957" width="6.44140625" style="2" customWidth="1"/>
    <col min="8958" max="8958" width="11.6640625" style="2" customWidth="1"/>
    <col min="8959" max="8959" width="10.44140625" style="2" customWidth="1"/>
    <col min="8960" max="8960" width="13.44140625" style="2" customWidth="1"/>
    <col min="8961" max="9206" width="7" style="2"/>
    <col min="9207" max="9207" width="4.109375" style="2" customWidth="1"/>
    <col min="9208" max="9208" width="3.6640625" style="2" customWidth="1"/>
    <col min="9209" max="9209" width="4.88671875" style="2" customWidth="1"/>
    <col min="9210" max="9210" width="10.33203125" style="2" customWidth="1"/>
    <col min="9211" max="9211" width="13.33203125" style="2" customWidth="1"/>
    <col min="9212" max="9212" width="5.5546875" style="2" customWidth="1"/>
    <col min="9213" max="9213" width="6.44140625" style="2" customWidth="1"/>
    <col min="9214" max="9214" width="11.6640625" style="2" customWidth="1"/>
    <col min="9215" max="9215" width="10.44140625" style="2" customWidth="1"/>
    <col min="9216" max="9216" width="13.44140625" style="2" customWidth="1"/>
    <col min="9217" max="9462" width="7" style="2"/>
    <col min="9463" max="9463" width="4.109375" style="2" customWidth="1"/>
    <col min="9464" max="9464" width="3.6640625" style="2" customWidth="1"/>
    <col min="9465" max="9465" width="4.88671875" style="2" customWidth="1"/>
    <col min="9466" max="9466" width="10.33203125" style="2" customWidth="1"/>
    <col min="9467" max="9467" width="13.33203125" style="2" customWidth="1"/>
    <col min="9468" max="9468" width="5.5546875" style="2" customWidth="1"/>
    <col min="9469" max="9469" width="6.44140625" style="2" customWidth="1"/>
    <col min="9470" max="9470" width="11.6640625" style="2" customWidth="1"/>
    <col min="9471" max="9471" width="10.44140625" style="2" customWidth="1"/>
    <col min="9472" max="9472" width="13.44140625" style="2" customWidth="1"/>
    <col min="9473" max="9718" width="7" style="2"/>
    <col min="9719" max="9719" width="4.109375" style="2" customWidth="1"/>
    <col min="9720" max="9720" width="3.6640625" style="2" customWidth="1"/>
    <col min="9721" max="9721" width="4.88671875" style="2" customWidth="1"/>
    <col min="9722" max="9722" width="10.33203125" style="2" customWidth="1"/>
    <col min="9723" max="9723" width="13.33203125" style="2" customWidth="1"/>
    <col min="9724" max="9724" width="5.5546875" style="2" customWidth="1"/>
    <col min="9725" max="9725" width="6.44140625" style="2" customWidth="1"/>
    <col min="9726" max="9726" width="11.6640625" style="2" customWidth="1"/>
    <col min="9727" max="9727" width="10.44140625" style="2" customWidth="1"/>
    <col min="9728" max="9728" width="13.44140625" style="2" customWidth="1"/>
    <col min="9729" max="9974" width="7" style="2"/>
    <col min="9975" max="9975" width="4.109375" style="2" customWidth="1"/>
    <col min="9976" max="9976" width="3.6640625" style="2" customWidth="1"/>
    <col min="9977" max="9977" width="4.88671875" style="2" customWidth="1"/>
    <col min="9978" max="9978" width="10.33203125" style="2" customWidth="1"/>
    <col min="9979" max="9979" width="13.33203125" style="2" customWidth="1"/>
    <col min="9980" max="9980" width="5.5546875" style="2" customWidth="1"/>
    <col min="9981" max="9981" width="6.44140625" style="2" customWidth="1"/>
    <col min="9982" max="9982" width="11.6640625" style="2" customWidth="1"/>
    <col min="9983" max="9983" width="10.44140625" style="2" customWidth="1"/>
    <col min="9984" max="9984" width="13.44140625" style="2" customWidth="1"/>
    <col min="9985" max="10230" width="7" style="2"/>
    <col min="10231" max="10231" width="4.109375" style="2" customWidth="1"/>
    <col min="10232" max="10232" width="3.6640625" style="2" customWidth="1"/>
    <col min="10233" max="10233" width="4.88671875" style="2" customWidth="1"/>
    <col min="10234" max="10234" width="10.33203125" style="2" customWidth="1"/>
    <col min="10235" max="10235" width="13.33203125" style="2" customWidth="1"/>
    <col min="10236" max="10236" width="5.5546875" style="2" customWidth="1"/>
    <col min="10237" max="10237" width="6.44140625" style="2" customWidth="1"/>
    <col min="10238" max="10238" width="11.6640625" style="2" customWidth="1"/>
    <col min="10239" max="10239" width="10.44140625" style="2" customWidth="1"/>
    <col min="10240" max="10240" width="13.44140625" style="2" customWidth="1"/>
    <col min="10241" max="10486" width="7" style="2"/>
    <col min="10487" max="10487" width="4.109375" style="2" customWidth="1"/>
    <col min="10488" max="10488" width="3.6640625" style="2" customWidth="1"/>
    <col min="10489" max="10489" width="4.88671875" style="2" customWidth="1"/>
    <col min="10490" max="10490" width="10.33203125" style="2" customWidth="1"/>
    <col min="10491" max="10491" width="13.33203125" style="2" customWidth="1"/>
    <col min="10492" max="10492" width="5.5546875" style="2" customWidth="1"/>
    <col min="10493" max="10493" width="6.44140625" style="2" customWidth="1"/>
    <col min="10494" max="10494" width="11.6640625" style="2" customWidth="1"/>
    <col min="10495" max="10495" width="10.44140625" style="2" customWidth="1"/>
    <col min="10496" max="10496" width="13.44140625" style="2" customWidth="1"/>
    <col min="10497" max="10742" width="7" style="2"/>
    <col min="10743" max="10743" width="4.109375" style="2" customWidth="1"/>
    <col min="10744" max="10744" width="3.6640625" style="2" customWidth="1"/>
    <col min="10745" max="10745" width="4.88671875" style="2" customWidth="1"/>
    <col min="10746" max="10746" width="10.33203125" style="2" customWidth="1"/>
    <col min="10747" max="10747" width="13.33203125" style="2" customWidth="1"/>
    <col min="10748" max="10748" width="5.5546875" style="2" customWidth="1"/>
    <col min="10749" max="10749" width="6.44140625" style="2" customWidth="1"/>
    <col min="10750" max="10750" width="11.6640625" style="2" customWidth="1"/>
    <col min="10751" max="10751" width="10.44140625" style="2" customWidth="1"/>
    <col min="10752" max="10752" width="13.44140625" style="2" customWidth="1"/>
    <col min="10753" max="10998" width="7" style="2"/>
    <col min="10999" max="10999" width="4.109375" style="2" customWidth="1"/>
    <col min="11000" max="11000" width="3.6640625" style="2" customWidth="1"/>
    <col min="11001" max="11001" width="4.88671875" style="2" customWidth="1"/>
    <col min="11002" max="11002" width="10.33203125" style="2" customWidth="1"/>
    <col min="11003" max="11003" width="13.33203125" style="2" customWidth="1"/>
    <col min="11004" max="11004" width="5.5546875" style="2" customWidth="1"/>
    <col min="11005" max="11005" width="6.44140625" style="2" customWidth="1"/>
    <col min="11006" max="11006" width="11.6640625" style="2" customWidth="1"/>
    <col min="11007" max="11007" width="10.44140625" style="2" customWidth="1"/>
    <col min="11008" max="11008" width="13.44140625" style="2" customWidth="1"/>
    <col min="11009" max="11254" width="7" style="2"/>
    <col min="11255" max="11255" width="4.109375" style="2" customWidth="1"/>
    <col min="11256" max="11256" width="3.6640625" style="2" customWidth="1"/>
    <col min="11257" max="11257" width="4.88671875" style="2" customWidth="1"/>
    <col min="11258" max="11258" width="10.33203125" style="2" customWidth="1"/>
    <col min="11259" max="11259" width="13.33203125" style="2" customWidth="1"/>
    <col min="11260" max="11260" width="5.5546875" style="2" customWidth="1"/>
    <col min="11261" max="11261" width="6.44140625" style="2" customWidth="1"/>
    <col min="11262" max="11262" width="11.6640625" style="2" customWidth="1"/>
    <col min="11263" max="11263" width="10.44140625" style="2" customWidth="1"/>
    <col min="11264" max="11264" width="13.44140625" style="2" customWidth="1"/>
    <col min="11265" max="11510" width="7" style="2"/>
    <col min="11511" max="11511" width="4.109375" style="2" customWidth="1"/>
    <col min="11512" max="11512" width="3.6640625" style="2" customWidth="1"/>
    <col min="11513" max="11513" width="4.88671875" style="2" customWidth="1"/>
    <col min="11514" max="11514" width="10.33203125" style="2" customWidth="1"/>
    <col min="11515" max="11515" width="13.33203125" style="2" customWidth="1"/>
    <col min="11516" max="11516" width="5.5546875" style="2" customWidth="1"/>
    <col min="11517" max="11517" width="6.44140625" style="2" customWidth="1"/>
    <col min="11518" max="11518" width="11.6640625" style="2" customWidth="1"/>
    <col min="11519" max="11519" width="10.44140625" style="2" customWidth="1"/>
    <col min="11520" max="11520" width="13.44140625" style="2" customWidth="1"/>
    <col min="11521" max="11766" width="7" style="2"/>
    <col min="11767" max="11767" width="4.109375" style="2" customWidth="1"/>
    <col min="11768" max="11768" width="3.6640625" style="2" customWidth="1"/>
    <col min="11769" max="11769" width="4.88671875" style="2" customWidth="1"/>
    <col min="11770" max="11770" width="10.33203125" style="2" customWidth="1"/>
    <col min="11771" max="11771" width="13.33203125" style="2" customWidth="1"/>
    <col min="11772" max="11772" width="5.5546875" style="2" customWidth="1"/>
    <col min="11773" max="11773" width="6.44140625" style="2" customWidth="1"/>
    <col min="11774" max="11774" width="11.6640625" style="2" customWidth="1"/>
    <col min="11775" max="11775" width="10.44140625" style="2" customWidth="1"/>
    <col min="11776" max="11776" width="13.44140625" style="2" customWidth="1"/>
    <col min="11777" max="12022" width="7" style="2"/>
    <col min="12023" max="12023" width="4.109375" style="2" customWidth="1"/>
    <col min="12024" max="12024" width="3.6640625" style="2" customWidth="1"/>
    <col min="12025" max="12025" width="4.88671875" style="2" customWidth="1"/>
    <col min="12026" max="12026" width="10.33203125" style="2" customWidth="1"/>
    <col min="12027" max="12027" width="13.33203125" style="2" customWidth="1"/>
    <col min="12028" max="12028" width="5.5546875" style="2" customWidth="1"/>
    <col min="12029" max="12029" width="6.44140625" style="2" customWidth="1"/>
    <col min="12030" max="12030" width="11.6640625" style="2" customWidth="1"/>
    <col min="12031" max="12031" width="10.44140625" style="2" customWidth="1"/>
    <col min="12032" max="12032" width="13.44140625" style="2" customWidth="1"/>
    <col min="12033" max="12278" width="7" style="2"/>
    <col min="12279" max="12279" width="4.109375" style="2" customWidth="1"/>
    <col min="12280" max="12280" width="3.6640625" style="2" customWidth="1"/>
    <col min="12281" max="12281" width="4.88671875" style="2" customWidth="1"/>
    <col min="12282" max="12282" width="10.33203125" style="2" customWidth="1"/>
    <col min="12283" max="12283" width="13.33203125" style="2" customWidth="1"/>
    <col min="12284" max="12284" width="5.5546875" style="2" customWidth="1"/>
    <col min="12285" max="12285" width="6.44140625" style="2" customWidth="1"/>
    <col min="12286" max="12286" width="11.6640625" style="2" customWidth="1"/>
    <col min="12287" max="12287" width="10.44140625" style="2" customWidth="1"/>
    <col min="12288" max="12288" width="13.44140625" style="2" customWidth="1"/>
    <col min="12289" max="12534" width="7" style="2"/>
    <col min="12535" max="12535" width="4.109375" style="2" customWidth="1"/>
    <col min="12536" max="12536" width="3.6640625" style="2" customWidth="1"/>
    <col min="12537" max="12537" width="4.88671875" style="2" customWidth="1"/>
    <col min="12538" max="12538" width="10.33203125" style="2" customWidth="1"/>
    <col min="12539" max="12539" width="13.33203125" style="2" customWidth="1"/>
    <col min="12540" max="12540" width="5.5546875" style="2" customWidth="1"/>
    <col min="12541" max="12541" width="6.44140625" style="2" customWidth="1"/>
    <col min="12542" max="12542" width="11.6640625" style="2" customWidth="1"/>
    <col min="12543" max="12543" width="10.44140625" style="2" customWidth="1"/>
    <col min="12544" max="12544" width="13.44140625" style="2" customWidth="1"/>
    <col min="12545" max="12790" width="7" style="2"/>
    <col min="12791" max="12791" width="4.109375" style="2" customWidth="1"/>
    <col min="12792" max="12792" width="3.6640625" style="2" customWidth="1"/>
    <col min="12793" max="12793" width="4.88671875" style="2" customWidth="1"/>
    <col min="12794" max="12794" width="10.33203125" style="2" customWidth="1"/>
    <col min="12795" max="12795" width="13.33203125" style="2" customWidth="1"/>
    <col min="12796" max="12796" width="5.5546875" style="2" customWidth="1"/>
    <col min="12797" max="12797" width="6.44140625" style="2" customWidth="1"/>
    <col min="12798" max="12798" width="11.6640625" style="2" customWidth="1"/>
    <col min="12799" max="12799" width="10.44140625" style="2" customWidth="1"/>
    <col min="12800" max="12800" width="13.44140625" style="2" customWidth="1"/>
    <col min="12801" max="13046" width="7" style="2"/>
    <col min="13047" max="13047" width="4.109375" style="2" customWidth="1"/>
    <col min="13048" max="13048" width="3.6640625" style="2" customWidth="1"/>
    <col min="13049" max="13049" width="4.88671875" style="2" customWidth="1"/>
    <col min="13050" max="13050" width="10.33203125" style="2" customWidth="1"/>
    <col min="13051" max="13051" width="13.33203125" style="2" customWidth="1"/>
    <col min="13052" max="13052" width="5.5546875" style="2" customWidth="1"/>
    <col min="13053" max="13053" width="6.44140625" style="2" customWidth="1"/>
    <col min="13054" max="13054" width="11.6640625" style="2" customWidth="1"/>
    <col min="13055" max="13055" width="10.44140625" style="2" customWidth="1"/>
    <col min="13056" max="13056" width="13.44140625" style="2" customWidth="1"/>
    <col min="13057" max="13302" width="7" style="2"/>
    <col min="13303" max="13303" width="4.109375" style="2" customWidth="1"/>
    <col min="13304" max="13304" width="3.6640625" style="2" customWidth="1"/>
    <col min="13305" max="13305" width="4.88671875" style="2" customWidth="1"/>
    <col min="13306" max="13306" width="10.33203125" style="2" customWidth="1"/>
    <col min="13307" max="13307" width="13.33203125" style="2" customWidth="1"/>
    <col min="13308" max="13308" width="5.5546875" style="2" customWidth="1"/>
    <col min="13309" max="13309" width="6.44140625" style="2" customWidth="1"/>
    <col min="13310" max="13310" width="11.6640625" style="2" customWidth="1"/>
    <col min="13311" max="13311" width="10.44140625" style="2" customWidth="1"/>
    <col min="13312" max="13312" width="13.44140625" style="2" customWidth="1"/>
    <col min="13313" max="13558" width="7" style="2"/>
    <col min="13559" max="13559" width="4.109375" style="2" customWidth="1"/>
    <col min="13560" max="13560" width="3.6640625" style="2" customWidth="1"/>
    <col min="13561" max="13561" width="4.88671875" style="2" customWidth="1"/>
    <col min="13562" max="13562" width="10.33203125" style="2" customWidth="1"/>
    <col min="13563" max="13563" width="13.33203125" style="2" customWidth="1"/>
    <col min="13564" max="13564" width="5.5546875" style="2" customWidth="1"/>
    <col min="13565" max="13565" width="6.44140625" style="2" customWidth="1"/>
    <col min="13566" max="13566" width="11.6640625" style="2" customWidth="1"/>
    <col min="13567" max="13567" width="10.44140625" style="2" customWidth="1"/>
    <col min="13568" max="13568" width="13.44140625" style="2" customWidth="1"/>
    <col min="13569" max="13814" width="7" style="2"/>
    <col min="13815" max="13815" width="4.109375" style="2" customWidth="1"/>
    <col min="13816" max="13816" width="3.6640625" style="2" customWidth="1"/>
    <col min="13817" max="13817" width="4.88671875" style="2" customWidth="1"/>
    <col min="13818" max="13818" width="10.33203125" style="2" customWidth="1"/>
    <col min="13819" max="13819" width="13.33203125" style="2" customWidth="1"/>
    <col min="13820" max="13820" width="5.5546875" style="2" customWidth="1"/>
    <col min="13821" max="13821" width="6.44140625" style="2" customWidth="1"/>
    <col min="13822" max="13822" width="11.6640625" style="2" customWidth="1"/>
    <col min="13823" max="13823" width="10.44140625" style="2" customWidth="1"/>
    <col min="13824" max="13824" width="13.44140625" style="2" customWidth="1"/>
    <col min="13825" max="14070" width="7" style="2"/>
    <col min="14071" max="14071" width="4.109375" style="2" customWidth="1"/>
    <col min="14072" max="14072" width="3.6640625" style="2" customWidth="1"/>
    <col min="14073" max="14073" width="4.88671875" style="2" customWidth="1"/>
    <col min="14074" max="14074" width="10.33203125" style="2" customWidth="1"/>
    <col min="14075" max="14075" width="13.33203125" style="2" customWidth="1"/>
    <col min="14076" max="14076" width="5.5546875" style="2" customWidth="1"/>
    <col min="14077" max="14077" width="6.44140625" style="2" customWidth="1"/>
    <col min="14078" max="14078" width="11.6640625" style="2" customWidth="1"/>
    <col min="14079" max="14079" width="10.44140625" style="2" customWidth="1"/>
    <col min="14080" max="14080" width="13.44140625" style="2" customWidth="1"/>
    <col min="14081" max="14326" width="7" style="2"/>
    <col min="14327" max="14327" width="4.109375" style="2" customWidth="1"/>
    <col min="14328" max="14328" width="3.6640625" style="2" customWidth="1"/>
    <col min="14329" max="14329" width="4.88671875" style="2" customWidth="1"/>
    <col min="14330" max="14330" width="10.33203125" style="2" customWidth="1"/>
    <col min="14331" max="14331" width="13.33203125" style="2" customWidth="1"/>
    <col min="14332" max="14332" width="5.5546875" style="2" customWidth="1"/>
    <col min="14333" max="14333" width="6.44140625" style="2" customWidth="1"/>
    <col min="14334" max="14334" width="11.6640625" style="2" customWidth="1"/>
    <col min="14335" max="14335" width="10.44140625" style="2" customWidth="1"/>
    <col min="14336" max="14336" width="13.44140625" style="2" customWidth="1"/>
    <col min="14337" max="14582" width="7" style="2"/>
    <col min="14583" max="14583" width="4.109375" style="2" customWidth="1"/>
    <col min="14584" max="14584" width="3.6640625" style="2" customWidth="1"/>
    <col min="14585" max="14585" width="4.88671875" style="2" customWidth="1"/>
    <col min="14586" max="14586" width="10.33203125" style="2" customWidth="1"/>
    <col min="14587" max="14587" width="13.33203125" style="2" customWidth="1"/>
    <col min="14588" max="14588" width="5.5546875" style="2" customWidth="1"/>
    <col min="14589" max="14589" width="6.44140625" style="2" customWidth="1"/>
    <col min="14590" max="14590" width="11.6640625" style="2" customWidth="1"/>
    <col min="14591" max="14591" width="10.44140625" style="2" customWidth="1"/>
    <col min="14592" max="14592" width="13.44140625" style="2" customWidth="1"/>
    <col min="14593" max="14838" width="7" style="2"/>
    <col min="14839" max="14839" width="4.109375" style="2" customWidth="1"/>
    <col min="14840" max="14840" width="3.6640625" style="2" customWidth="1"/>
    <col min="14841" max="14841" width="4.88671875" style="2" customWidth="1"/>
    <col min="14842" max="14842" width="10.33203125" style="2" customWidth="1"/>
    <col min="14843" max="14843" width="13.33203125" style="2" customWidth="1"/>
    <col min="14844" max="14844" width="5.5546875" style="2" customWidth="1"/>
    <col min="14845" max="14845" width="6.44140625" style="2" customWidth="1"/>
    <col min="14846" max="14846" width="11.6640625" style="2" customWidth="1"/>
    <col min="14847" max="14847" width="10.44140625" style="2" customWidth="1"/>
    <col min="14848" max="14848" width="13.44140625" style="2" customWidth="1"/>
    <col min="14849" max="15094" width="7" style="2"/>
    <col min="15095" max="15095" width="4.109375" style="2" customWidth="1"/>
    <col min="15096" max="15096" width="3.6640625" style="2" customWidth="1"/>
    <col min="15097" max="15097" width="4.88671875" style="2" customWidth="1"/>
    <col min="15098" max="15098" width="10.33203125" style="2" customWidth="1"/>
    <col min="15099" max="15099" width="13.33203125" style="2" customWidth="1"/>
    <col min="15100" max="15100" width="5.5546875" style="2" customWidth="1"/>
    <col min="15101" max="15101" width="6.44140625" style="2" customWidth="1"/>
    <col min="15102" max="15102" width="11.6640625" style="2" customWidth="1"/>
    <col min="15103" max="15103" width="10.44140625" style="2" customWidth="1"/>
    <col min="15104" max="15104" width="13.44140625" style="2" customWidth="1"/>
    <col min="15105" max="15350" width="7" style="2"/>
    <col min="15351" max="15351" width="4.109375" style="2" customWidth="1"/>
    <col min="15352" max="15352" width="3.6640625" style="2" customWidth="1"/>
    <col min="15353" max="15353" width="4.88671875" style="2" customWidth="1"/>
    <col min="15354" max="15354" width="10.33203125" style="2" customWidth="1"/>
    <col min="15355" max="15355" width="13.33203125" style="2" customWidth="1"/>
    <col min="15356" max="15356" width="5.5546875" style="2" customWidth="1"/>
    <col min="15357" max="15357" width="6.44140625" style="2" customWidth="1"/>
    <col min="15358" max="15358" width="11.6640625" style="2" customWidth="1"/>
    <col min="15359" max="15359" width="10.44140625" style="2" customWidth="1"/>
    <col min="15360" max="15360" width="13.44140625" style="2" customWidth="1"/>
    <col min="15361" max="15606" width="7" style="2"/>
    <col min="15607" max="15607" width="4.109375" style="2" customWidth="1"/>
    <col min="15608" max="15608" width="3.6640625" style="2" customWidth="1"/>
    <col min="15609" max="15609" width="4.88671875" style="2" customWidth="1"/>
    <col min="15610" max="15610" width="10.33203125" style="2" customWidth="1"/>
    <col min="15611" max="15611" width="13.33203125" style="2" customWidth="1"/>
    <col min="15612" max="15612" width="5.5546875" style="2" customWidth="1"/>
    <col min="15613" max="15613" width="6.44140625" style="2" customWidth="1"/>
    <col min="15614" max="15614" width="11.6640625" style="2" customWidth="1"/>
    <col min="15615" max="15615" width="10.44140625" style="2" customWidth="1"/>
    <col min="15616" max="15616" width="13.44140625" style="2" customWidth="1"/>
    <col min="15617" max="15862" width="7" style="2"/>
    <col min="15863" max="15863" width="4.109375" style="2" customWidth="1"/>
    <col min="15864" max="15864" width="3.6640625" style="2" customWidth="1"/>
    <col min="15865" max="15865" width="4.88671875" style="2" customWidth="1"/>
    <col min="15866" max="15866" width="10.33203125" style="2" customWidth="1"/>
    <col min="15867" max="15867" width="13.33203125" style="2" customWidth="1"/>
    <col min="15868" max="15868" width="5.5546875" style="2" customWidth="1"/>
    <col min="15869" max="15869" width="6.44140625" style="2" customWidth="1"/>
    <col min="15870" max="15870" width="11.6640625" style="2" customWidth="1"/>
    <col min="15871" max="15871" width="10.44140625" style="2" customWidth="1"/>
    <col min="15872" max="15872" width="13.44140625" style="2" customWidth="1"/>
    <col min="15873" max="16118" width="7" style="2"/>
    <col min="16119" max="16119" width="4.109375" style="2" customWidth="1"/>
    <col min="16120" max="16120" width="3.6640625" style="2" customWidth="1"/>
    <col min="16121" max="16121" width="4.88671875" style="2" customWidth="1"/>
    <col min="16122" max="16122" width="10.33203125" style="2" customWidth="1"/>
    <col min="16123" max="16123" width="13.33203125" style="2" customWidth="1"/>
    <col min="16124" max="16124" width="5.5546875" style="2" customWidth="1"/>
    <col min="16125" max="16125" width="6.44140625" style="2" customWidth="1"/>
    <col min="16126" max="16126" width="11.6640625" style="2" customWidth="1"/>
    <col min="16127" max="16127" width="10.44140625" style="2" customWidth="1"/>
    <col min="16128" max="16128" width="13.44140625" style="2" customWidth="1"/>
    <col min="16129" max="16384" width="7" style="2"/>
  </cols>
  <sheetData>
    <row r="1" spans="1:22" x14ac:dyDescent="0.3">
      <c r="A1" s="20" t="s">
        <v>0</v>
      </c>
      <c r="B1" s="20" t="s">
        <v>61</v>
      </c>
      <c r="C1" s="20" t="s">
        <v>177</v>
      </c>
      <c r="D1" s="21" t="s">
        <v>67</v>
      </c>
      <c r="E1" s="20" t="s">
        <v>1</v>
      </c>
      <c r="F1" s="20" t="s">
        <v>58</v>
      </c>
      <c r="G1" s="20" t="s">
        <v>45</v>
      </c>
      <c r="H1" s="20" t="s">
        <v>2</v>
      </c>
      <c r="I1" s="20" t="s">
        <v>57</v>
      </c>
      <c r="J1" s="20" t="s">
        <v>44</v>
      </c>
      <c r="K1" s="20" t="s">
        <v>43</v>
      </c>
      <c r="L1" s="7" t="s">
        <v>54</v>
      </c>
      <c r="M1" s="7" t="s">
        <v>55</v>
      </c>
      <c r="N1" s="7" t="s">
        <v>56</v>
      </c>
      <c r="O1" s="7"/>
      <c r="P1" s="22"/>
    </row>
    <row r="2" spans="1:22" ht="33.75" x14ac:dyDescent="0.3">
      <c r="A2" s="23">
        <v>97</v>
      </c>
      <c r="B2" s="24" t="s">
        <v>65</v>
      </c>
      <c r="C2" s="23" t="s">
        <v>178</v>
      </c>
      <c r="D2" s="25"/>
      <c r="E2" s="26" t="s">
        <v>179</v>
      </c>
      <c r="F2" s="23" t="s">
        <v>193</v>
      </c>
      <c r="G2" s="26" t="s">
        <v>186</v>
      </c>
      <c r="H2" s="26" t="s">
        <v>286</v>
      </c>
      <c r="I2" s="23" t="s">
        <v>9</v>
      </c>
      <c r="J2" s="23"/>
      <c r="K2" s="23" t="s">
        <v>194</v>
      </c>
      <c r="L2" s="27">
        <v>231200117594</v>
      </c>
      <c r="M2" s="23">
        <v>2023</v>
      </c>
      <c r="N2" s="23" t="s">
        <v>195</v>
      </c>
      <c r="O2" s="23"/>
      <c r="P2" s="22"/>
    </row>
    <row r="3" spans="1:22" ht="33.75" x14ac:dyDescent="0.3">
      <c r="A3" s="23">
        <v>98</v>
      </c>
      <c r="B3" s="24" t="s">
        <v>65</v>
      </c>
      <c r="C3" s="23" t="s">
        <v>178</v>
      </c>
      <c r="D3" s="25"/>
      <c r="E3" s="26" t="s">
        <v>180</v>
      </c>
      <c r="F3" s="23" t="s">
        <v>197</v>
      </c>
      <c r="G3" s="26" t="s">
        <v>187</v>
      </c>
      <c r="H3" s="26" t="s">
        <v>286</v>
      </c>
      <c r="I3" s="23" t="s">
        <v>9</v>
      </c>
      <c r="J3" s="23"/>
      <c r="K3" s="23" t="s">
        <v>194</v>
      </c>
      <c r="L3" s="27">
        <v>231200117598</v>
      </c>
      <c r="M3" s="23">
        <v>2023</v>
      </c>
      <c r="N3" s="23" t="s">
        <v>196</v>
      </c>
      <c r="O3" s="23"/>
      <c r="P3" s="22"/>
    </row>
    <row r="4" spans="1:22" ht="33.75" x14ac:dyDescent="0.3">
      <c r="A4" s="23">
        <v>99</v>
      </c>
      <c r="B4" s="24" t="s">
        <v>65</v>
      </c>
      <c r="C4" s="23" t="s">
        <v>178</v>
      </c>
      <c r="D4" s="25"/>
      <c r="E4" s="26" t="s">
        <v>181</v>
      </c>
      <c r="F4" s="23" t="s">
        <v>199</v>
      </c>
      <c r="G4" s="26" t="s">
        <v>188</v>
      </c>
      <c r="H4" s="26" t="s">
        <v>286</v>
      </c>
      <c r="I4" s="23" t="s">
        <v>9</v>
      </c>
      <c r="J4" s="23"/>
      <c r="K4" s="23" t="s">
        <v>194</v>
      </c>
      <c r="L4" s="27">
        <v>231200117599</v>
      </c>
      <c r="M4" s="23">
        <v>2023</v>
      </c>
      <c r="N4" s="23" t="s">
        <v>198</v>
      </c>
      <c r="O4" s="23"/>
      <c r="P4" s="22"/>
    </row>
    <row r="5" spans="1:22" ht="33.75" x14ac:dyDescent="0.3">
      <c r="A5" s="28">
        <v>100</v>
      </c>
      <c r="B5" s="24" t="s">
        <v>65</v>
      </c>
      <c r="C5" s="23" t="s">
        <v>178</v>
      </c>
      <c r="D5" s="25"/>
      <c r="E5" s="26" t="s">
        <v>182</v>
      </c>
      <c r="F5" s="23" t="s">
        <v>201</v>
      </c>
      <c r="G5" s="26" t="s">
        <v>189</v>
      </c>
      <c r="H5" s="26" t="s">
        <v>286</v>
      </c>
      <c r="I5" s="23" t="s">
        <v>9</v>
      </c>
      <c r="J5" s="23"/>
      <c r="K5" s="23" t="s">
        <v>194</v>
      </c>
      <c r="L5" s="27">
        <v>231200117600</v>
      </c>
      <c r="M5" s="23">
        <v>2023</v>
      </c>
      <c r="N5" s="23" t="s">
        <v>200</v>
      </c>
      <c r="O5" s="23"/>
      <c r="P5" s="22"/>
    </row>
    <row r="6" spans="1:22" ht="33.75" x14ac:dyDescent="0.3">
      <c r="A6" s="6">
        <v>101</v>
      </c>
      <c r="B6" s="11" t="s">
        <v>65</v>
      </c>
      <c r="C6" s="7" t="s">
        <v>178</v>
      </c>
      <c r="D6" s="29"/>
      <c r="E6" s="30" t="s">
        <v>183</v>
      </c>
      <c r="F6" s="31" t="s">
        <v>203</v>
      </c>
      <c r="G6" s="30" t="s">
        <v>190</v>
      </c>
      <c r="H6" s="30" t="s">
        <v>286</v>
      </c>
      <c r="I6" s="31" t="s">
        <v>9</v>
      </c>
      <c r="J6" s="31"/>
      <c r="K6" s="31" t="s">
        <v>204</v>
      </c>
      <c r="L6" s="32">
        <v>231200117593</v>
      </c>
      <c r="M6" s="31">
        <v>2023</v>
      </c>
      <c r="N6" s="31" t="s">
        <v>202</v>
      </c>
      <c r="O6" s="31"/>
      <c r="P6" s="22"/>
    </row>
    <row r="7" spans="1:22" ht="33.75" x14ac:dyDescent="0.3">
      <c r="A7" s="7">
        <v>102</v>
      </c>
      <c r="B7" s="11" t="s">
        <v>65</v>
      </c>
      <c r="C7" s="7" t="s">
        <v>178</v>
      </c>
      <c r="D7" s="29"/>
      <c r="E7" s="26" t="s">
        <v>184</v>
      </c>
      <c r="F7" s="23" t="s">
        <v>206</v>
      </c>
      <c r="G7" s="26" t="s">
        <v>191</v>
      </c>
      <c r="H7" s="26" t="s">
        <v>286</v>
      </c>
      <c r="I7" s="23" t="s">
        <v>9</v>
      </c>
      <c r="J7" s="23"/>
      <c r="K7" s="23" t="s">
        <v>194</v>
      </c>
      <c r="L7" s="27">
        <v>231200117595</v>
      </c>
      <c r="M7" s="23">
        <v>2023</v>
      </c>
      <c r="N7" s="23" t="s">
        <v>205</v>
      </c>
      <c r="O7" s="23"/>
      <c r="P7" s="22"/>
      <c r="S7" s="5">
        <v>1</v>
      </c>
      <c r="T7" s="5">
        <v>2</v>
      </c>
      <c r="U7" s="5">
        <v>3</v>
      </c>
      <c r="V7" s="5">
        <v>4</v>
      </c>
    </row>
    <row r="8" spans="1:22" ht="33.75" x14ac:dyDescent="0.3">
      <c r="A8" s="7">
        <v>103</v>
      </c>
      <c r="B8" s="11" t="s">
        <v>65</v>
      </c>
      <c r="C8" s="7" t="s">
        <v>178</v>
      </c>
      <c r="D8" s="29"/>
      <c r="E8" s="30" t="s">
        <v>185</v>
      </c>
      <c r="F8" s="31" t="s">
        <v>208</v>
      </c>
      <c r="G8" s="30" t="s">
        <v>192</v>
      </c>
      <c r="H8" s="30" t="s">
        <v>286</v>
      </c>
      <c r="I8" s="31" t="s">
        <v>9</v>
      </c>
      <c r="J8" s="31"/>
      <c r="K8" s="31" t="s">
        <v>204</v>
      </c>
      <c r="L8" s="32">
        <v>231200117596</v>
      </c>
      <c r="M8" s="31">
        <v>2023</v>
      </c>
      <c r="N8" s="31" t="s">
        <v>207</v>
      </c>
      <c r="O8" s="31"/>
      <c r="P8" s="22"/>
      <c r="R8" s="33"/>
      <c r="S8" s="33" t="s">
        <v>651</v>
      </c>
      <c r="T8" s="33" t="s">
        <v>652</v>
      </c>
      <c r="U8" s="33" t="s">
        <v>653</v>
      </c>
      <c r="V8" s="33" t="s">
        <v>654</v>
      </c>
    </row>
    <row r="9" spans="1:22" ht="33.75" hidden="1" x14ac:dyDescent="0.3">
      <c r="A9" s="7">
        <v>104</v>
      </c>
      <c r="B9" s="34" t="s">
        <v>65</v>
      </c>
      <c r="C9" s="7" t="s">
        <v>178</v>
      </c>
      <c r="E9" s="14" t="s">
        <v>210</v>
      </c>
      <c r="F9" s="14" t="s">
        <v>511</v>
      </c>
      <c r="G9" s="14" t="s">
        <v>235</v>
      </c>
      <c r="H9" s="14" t="s">
        <v>210</v>
      </c>
      <c r="I9" s="7" t="s">
        <v>9</v>
      </c>
      <c r="J9" s="3"/>
      <c r="K9" s="3"/>
      <c r="L9" s="15">
        <v>231200117370</v>
      </c>
      <c r="M9" s="3"/>
      <c r="N9" s="3"/>
      <c r="O9" s="8" t="s">
        <v>260</v>
      </c>
      <c r="P9" s="35"/>
      <c r="R9" s="33" t="s">
        <v>490</v>
      </c>
      <c r="S9" s="33" t="s">
        <v>340</v>
      </c>
      <c r="T9" s="33" t="s">
        <v>550</v>
      </c>
      <c r="U9" s="33" t="s">
        <v>571</v>
      </c>
      <c r="V9" s="33" t="s">
        <v>731</v>
      </c>
    </row>
    <row r="10" spans="1:22" ht="33.75" hidden="1" x14ac:dyDescent="0.3">
      <c r="A10" s="10">
        <v>105</v>
      </c>
      <c r="B10" s="34" t="s">
        <v>65</v>
      </c>
      <c r="C10" s="7" t="s">
        <v>178</v>
      </c>
      <c r="E10" s="14" t="s">
        <v>211</v>
      </c>
      <c r="F10" s="14" t="s">
        <v>512</v>
      </c>
      <c r="G10" s="14" t="s">
        <v>236</v>
      </c>
      <c r="H10" s="14" t="s">
        <v>210</v>
      </c>
      <c r="I10" s="7" t="s">
        <v>9</v>
      </c>
      <c r="J10" s="3"/>
      <c r="K10" s="3"/>
      <c r="L10" s="15">
        <v>231200117361</v>
      </c>
      <c r="M10" s="3"/>
      <c r="N10" s="3"/>
      <c r="O10" s="8" t="s">
        <v>261</v>
      </c>
      <c r="P10" s="35"/>
      <c r="R10" s="33" t="s">
        <v>489</v>
      </c>
      <c r="S10" s="33" t="s">
        <v>339</v>
      </c>
      <c r="T10" s="33" t="s">
        <v>550</v>
      </c>
      <c r="U10" s="33" t="s">
        <v>570</v>
      </c>
      <c r="V10" s="33" t="s">
        <v>731</v>
      </c>
    </row>
    <row r="11" spans="1:22" ht="33.75" hidden="1" x14ac:dyDescent="0.3">
      <c r="A11" s="6">
        <v>106</v>
      </c>
      <c r="B11" s="34" t="s">
        <v>65</v>
      </c>
      <c r="C11" s="7" t="s">
        <v>178</v>
      </c>
      <c r="E11" s="14" t="s">
        <v>212</v>
      </c>
      <c r="F11" s="14" t="s">
        <v>513</v>
      </c>
      <c r="G11" s="14" t="s">
        <v>237</v>
      </c>
      <c r="H11" s="14" t="s">
        <v>210</v>
      </c>
      <c r="I11" s="7" t="s">
        <v>9</v>
      </c>
      <c r="J11" s="3"/>
      <c r="K11" s="3"/>
      <c r="L11" s="15">
        <v>231200117330</v>
      </c>
      <c r="M11" s="3"/>
      <c r="N11" s="3"/>
      <c r="O11" s="8" t="s">
        <v>262</v>
      </c>
      <c r="P11" s="35"/>
      <c r="R11" s="33" t="s">
        <v>488</v>
      </c>
      <c r="S11" s="33" t="s">
        <v>338</v>
      </c>
      <c r="T11" s="33" t="s">
        <v>581</v>
      </c>
      <c r="U11" s="33" t="s">
        <v>569</v>
      </c>
      <c r="V11" s="33" t="s">
        <v>732</v>
      </c>
    </row>
    <row r="12" spans="1:22" ht="33.75" hidden="1" x14ac:dyDescent="0.3">
      <c r="A12" s="7">
        <v>107</v>
      </c>
      <c r="B12" s="34" t="s">
        <v>65</v>
      </c>
      <c r="C12" s="7" t="s">
        <v>178</v>
      </c>
      <c r="E12" s="14" t="s">
        <v>213</v>
      </c>
      <c r="F12" s="14" t="s">
        <v>514</v>
      </c>
      <c r="G12" s="14" t="s">
        <v>238</v>
      </c>
      <c r="H12" s="14" t="s">
        <v>210</v>
      </c>
      <c r="I12" s="7" t="s">
        <v>9</v>
      </c>
      <c r="J12" s="3"/>
      <c r="K12" s="3"/>
      <c r="L12" s="15">
        <v>231200118970</v>
      </c>
      <c r="M12" s="3"/>
      <c r="N12" s="3"/>
      <c r="O12" s="8" t="s">
        <v>263</v>
      </c>
      <c r="P12" s="35"/>
      <c r="R12" s="33" t="s">
        <v>487</v>
      </c>
      <c r="S12" s="33" t="s">
        <v>337</v>
      </c>
      <c r="T12" s="33" t="s">
        <v>581</v>
      </c>
      <c r="U12" s="33" t="s">
        <v>568</v>
      </c>
      <c r="V12" s="33" t="s">
        <v>732</v>
      </c>
    </row>
    <row r="13" spans="1:22" ht="33.75" hidden="1" x14ac:dyDescent="0.3">
      <c r="A13" s="7">
        <v>108</v>
      </c>
      <c r="B13" s="34" t="s">
        <v>65</v>
      </c>
      <c r="C13" s="7" t="s">
        <v>178</v>
      </c>
      <c r="E13" s="14" t="s">
        <v>214</v>
      </c>
      <c r="F13" s="14" t="s">
        <v>515</v>
      </c>
      <c r="G13" s="14" t="s">
        <v>239</v>
      </c>
      <c r="H13" s="14" t="s">
        <v>210</v>
      </c>
      <c r="I13" s="7" t="s">
        <v>9</v>
      </c>
      <c r="J13" s="3"/>
      <c r="K13" s="3"/>
      <c r="L13" s="15">
        <v>231200118973</v>
      </c>
      <c r="M13" s="3"/>
      <c r="N13" s="3"/>
      <c r="O13" s="8" t="s">
        <v>264</v>
      </c>
      <c r="P13" s="35"/>
      <c r="R13" s="33" t="s">
        <v>449</v>
      </c>
      <c r="S13" s="33" t="s">
        <v>299</v>
      </c>
      <c r="T13" s="33" t="s">
        <v>550</v>
      </c>
      <c r="U13" s="33" t="s">
        <v>549</v>
      </c>
      <c r="V13" s="33" t="s">
        <v>731</v>
      </c>
    </row>
    <row r="14" spans="1:22" ht="33.75" hidden="1" x14ac:dyDescent="0.3">
      <c r="A14" s="7">
        <v>109</v>
      </c>
      <c r="B14" s="34" t="s">
        <v>65</v>
      </c>
      <c r="C14" s="7" t="s">
        <v>178</v>
      </c>
      <c r="E14" s="14" t="s">
        <v>215</v>
      </c>
      <c r="F14" s="14" t="s">
        <v>516</v>
      </c>
      <c r="G14" s="14" t="s">
        <v>240</v>
      </c>
      <c r="H14" s="14" t="s">
        <v>210</v>
      </c>
      <c r="I14" s="7" t="s">
        <v>9</v>
      </c>
      <c r="J14" s="3"/>
      <c r="K14" s="3"/>
      <c r="L14" s="15">
        <v>231200117641</v>
      </c>
      <c r="M14" s="3"/>
      <c r="N14" s="3"/>
      <c r="O14" s="8" t="s">
        <v>265</v>
      </c>
      <c r="P14" s="35"/>
      <c r="R14" s="33" t="s">
        <v>486</v>
      </c>
      <c r="S14" s="33" t="s">
        <v>336</v>
      </c>
      <c r="T14" s="33" t="s">
        <v>550</v>
      </c>
      <c r="U14" s="33" t="s">
        <v>567</v>
      </c>
      <c r="V14" s="33" t="s">
        <v>731</v>
      </c>
    </row>
    <row r="15" spans="1:22" ht="33.75" hidden="1" x14ac:dyDescent="0.3">
      <c r="A15" s="10">
        <v>110</v>
      </c>
      <c r="B15" s="34" t="s">
        <v>65</v>
      </c>
      <c r="C15" s="7" t="s">
        <v>178</v>
      </c>
      <c r="E15" s="14" t="s">
        <v>216</v>
      </c>
      <c r="F15" s="14" t="s">
        <v>517</v>
      </c>
      <c r="G15" s="14" t="s">
        <v>241</v>
      </c>
      <c r="H15" s="14" t="s">
        <v>210</v>
      </c>
      <c r="I15" s="7" t="s">
        <v>9</v>
      </c>
      <c r="J15" s="3"/>
      <c r="K15" s="3"/>
      <c r="L15" s="15">
        <v>231200118764</v>
      </c>
      <c r="M15" s="3"/>
      <c r="N15" s="3"/>
      <c r="O15" s="8" t="s">
        <v>266</v>
      </c>
      <c r="P15" s="35"/>
      <c r="R15" s="33" t="s">
        <v>485</v>
      </c>
      <c r="S15" s="33" t="s">
        <v>335</v>
      </c>
      <c r="T15" s="33" t="s">
        <v>580</v>
      </c>
      <c r="U15" s="33" t="s">
        <v>566</v>
      </c>
      <c r="V15" s="33" t="s">
        <v>732</v>
      </c>
    </row>
    <row r="16" spans="1:22" ht="33.75" hidden="1" x14ac:dyDescent="0.3">
      <c r="A16" s="6">
        <v>111</v>
      </c>
      <c r="B16" s="34" t="s">
        <v>65</v>
      </c>
      <c r="C16" s="7" t="s">
        <v>178</v>
      </c>
      <c r="E16" s="14" t="s">
        <v>217</v>
      </c>
      <c r="F16" s="14" t="s">
        <v>518</v>
      </c>
      <c r="G16" s="14" t="s">
        <v>242</v>
      </c>
      <c r="H16" s="14" t="s">
        <v>210</v>
      </c>
      <c r="I16" s="7" t="s">
        <v>9</v>
      </c>
      <c r="J16" s="3"/>
      <c r="K16" s="3"/>
      <c r="L16" s="15">
        <v>231200118972</v>
      </c>
      <c r="M16" s="3"/>
      <c r="N16" s="3"/>
      <c r="O16" s="8" t="s">
        <v>267</v>
      </c>
      <c r="P16" s="35"/>
      <c r="R16" s="33" t="s">
        <v>484</v>
      </c>
      <c r="S16" s="33" t="s">
        <v>334</v>
      </c>
      <c r="T16" s="33" t="s">
        <v>580</v>
      </c>
      <c r="U16" s="33" t="s">
        <v>565</v>
      </c>
      <c r="V16" s="33" t="s">
        <v>732</v>
      </c>
    </row>
    <row r="17" spans="1:22" ht="33.75" hidden="1" x14ac:dyDescent="0.3">
      <c r="A17" s="7">
        <v>112</v>
      </c>
      <c r="B17" s="34" t="s">
        <v>65</v>
      </c>
      <c r="C17" s="7" t="s">
        <v>178</v>
      </c>
      <c r="E17" s="14" t="s">
        <v>218</v>
      </c>
      <c r="F17" s="14" t="s">
        <v>519</v>
      </c>
      <c r="G17" s="14" t="s">
        <v>243</v>
      </c>
      <c r="H17" s="14" t="s">
        <v>210</v>
      </c>
      <c r="I17" s="7" t="s">
        <v>9</v>
      </c>
      <c r="J17" s="3"/>
      <c r="K17" s="3"/>
      <c r="L17" s="15">
        <v>231200118968</v>
      </c>
      <c r="M17" s="3"/>
      <c r="N17" s="3"/>
      <c r="O17" s="8" t="s">
        <v>268</v>
      </c>
      <c r="P17" s="35"/>
      <c r="R17" s="33" t="s">
        <v>491</v>
      </c>
      <c r="S17" s="33" t="s">
        <v>341</v>
      </c>
      <c r="T17" s="33" t="s">
        <v>580</v>
      </c>
      <c r="U17" s="33" t="s">
        <v>572</v>
      </c>
      <c r="V17" s="33" t="s">
        <v>732</v>
      </c>
    </row>
    <row r="18" spans="1:22" ht="33.75" hidden="1" x14ac:dyDescent="0.3">
      <c r="A18" s="7">
        <v>113</v>
      </c>
      <c r="B18" s="34" t="s">
        <v>65</v>
      </c>
      <c r="C18" s="7" t="s">
        <v>178</v>
      </c>
      <c r="E18" s="14" t="s">
        <v>219</v>
      </c>
      <c r="F18" s="14" t="s">
        <v>520</v>
      </c>
      <c r="G18" s="14" t="s">
        <v>244</v>
      </c>
      <c r="H18" s="14" t="s">
        <v>210</v>
      </c>
      <c r="I18" s="7" t="s">
        <v>9</v>
      </c>
      <c r="J18" s="3"/>
      <c r="K18" s="3"/>
      <c r="L18" s="15">
        <v>231200118961</v>
      </c>
      <c r="M18" s="3"/>
      <c r="N18" s="3"/>
      <c r="O18" s="8" t="s">
        <v>269</v>
      </c>
      <c r="P18" s="35"/>
      <c r="R18" s="33" t="s">
        <v>510</v>
      </c>
      <c r="S18" s="33" t="s">
        <v>360</v>
      </c>
      <c r="T18" s="33" t="s">
        <v>580</v>
      </c>
      <c r="U18" s="33" t="s">
        <v>597</v>
      </c>
      <c r="V18" s="33" t="s">
        <v>732</v>
      </c>
    </row>
    <row r="19" spans="1:22" ht="33.75" hidden="1" x14ac:dyDescent="0.3">
      <c r="A19" s="7">
        <v>114</v>
      </c>
      <c r="B19" s="34" t="s">
        <v>65</v>
      </c>
      <c r="C19" s="7" t="s">
        <v>178</v>
      </c>
      <c r="E19" s="14" t="s">
        <v>220</v>
      </c>
      <c r="F19" s="14" t="s">
        <v>521</v>
      </c>
      <c r="G19" s="14" t="s">
        <v>245</v>
      </c>
      <c r="H19" s="14" t="s">
        <v>210</v>
      </c>
      <c r="I19" s="7" t="s">
        <v>9</v>
      </c>
      <c r="J19" s="3"/>
      <c r="K19" s="3"/>
      <c r="L19" s="15">
        <v>231200117487</v>
      </c>
      <c r="M19" s="3"/>
      <c r="N19" s="3"/>
      <c r="O19" s="8" t="s">
        <v>270</v>
      </c>
      <c r="P19" s="35"/>
      <c r="R19" s="33" t="s">
        <v>509</v>
      </c>
      <c r="S19" s="33" t="s">
        <v>359</v>
      </c>
      <c r="T19" s="33" t="s">
        <v>580</v>
      </c>
      <c r="U19" s="33" t="s">
        <v>596</v>
      </c>
      <c r="V19" s="33" t="s">
        <v>732</v>
      </c>
    </row>
    <row r="20" spans="1:22" ht="33.75" hidden="1" x14ac:dyDescent="0.3">
      <c r="A20" s="10">
        <v>115</v>
      </c>
      <c r="B20" s="34" t="s">
        <v>65</v>
      </c>
      <c r="C20" s="7" t="s">
        <v>178</v>
      </c>
      <c r="E20" s="14" t="s">
        <v>221</v>
      </c>
      <c r="F20" s="14" t="s">
        <v>522</v>
      </c>
      <c r="G20" s="14" t="s">
        <v>246</v>
      </c>
      <c r="H20" s="14" t="s">
        <v>210</v>
      </c>
      <c r="I20" s="7" t="s">
        <v>9</v>
      </c>
      <c r="J20" s="3"/>
      <c r="K20" s="3"/>
      <c r="L20" s="15">
        <v>231200117481</v>
      </c>
      <c r="M20" s="3"/>
      <c r="N20" s="3"/>
      <c r="O20" s="8" t="s">
        <v>271</v>
      </c>
      <c r="P20" s="35"/>
      <c r="R20" s="33" t="s">
        <v>508</v>
      </c>
      <c r="S20" s="33" t="s">
        <v>358</v>
      </c>
      <c r="T20" s="33" t="s">
        <v>580</v>
      </c>
      <c r="U20" s="33" t="s">
        <v>595</v>
      </c>
      <c r="V20" s="33" t="s">
        <v>732</v>
      </c>
    </row>
    <row r="21" spans="1:22" ht="33.75" hidden="1" x14ac:dyDescent="0.3">
      <c r="A21" s="6">
        <v>116</v>
      </c>
      <c r="B21" s="34" t="s">
        <v>65</v>
      </c>
      <c r="C21" s="7" t="s">
        <v>178</v>
      </c>
      <c r="E21" s="14" t="s">
        <v>222</v>
      </c>
      <c r="F21" s="14" t="s">
        <v>523</v>
      </c>
      <c r="G21" s="14" t="s">
        <v>247</v>
      </c>
      <c r="H21" s="14" t="s">
        <v>210</v>
      </c>
      <c r="I21" s="7" t="s">
        <v>9</v>
      </c>
      <c r="J21" s="3"/>
      <c r="K21" s="3"/>
      <c r="L21" s="15">
        <v>231200118976</v>
      </c>
      <c r="M21" s="3"/>
      <c r="N21" s="3"/>
      <c r="O21" s="8" t="s">
        <v>272</v>
      </c>
      <c r="P21" s="35"/>
      <c r="R21" s="33" t="s">
        <v>507</v>
      </c>
      <c r="S21" s="33" t="s">
        <v>357</v>
      </c>
      <c r="T21" s="33" t="s">
        <v>580</v>
      </c>
      <c r="U21" s="33" t="s">
        <v>594</v>
      </c>
      <c r="V21" s="33" t="s">
        <v>732</v>
      </c>
    </row>
    <row r="22" spans="1:22" ht="33.75" hidden="1" x14ac:dyDescent="0.3">
      <c r="A22" s="7">
        <v>117</v>
      </c>
      <c r="B22" s="34" t="s">
        <v>65</v>
      </c>
      <c r="C22" s="7" t="s">
        <v>178</v>
      </c>
      <c r="E22" s="14" t="s">
        <v>223</v>
      </c>
      <c r="F22" s="14" t="s">
        <v>524</v>
      </c>
      <c r="G22" s="14" t="s">
        <v>248</v>
      </c>
      <c r="H22" s="14" t="s">
        <v>210</v>
      </c>
      <c r="I22" s="7" t="s">
        <v>9</v>
      </c>
      <c r="J22" s="3"/>
      <c r="K22" s="3"/>
      <c r="L22" s="15">
        <v>231200118963</v>
      </c>
      <c r="M22" s="3"/>
      <c r="N22" s="3"/>
      <c r="O22" s="8" t="s">
        <v>273</v>
      </c>
      <c r="P22" s="35"/>
      <c r="R22" s="33" t="s">
        <v>506</v>
      </c>
      <c r="S22" s="33" t="s">
        <v>356</v>
      </c>
      <c r="T22" s="33" t="s">
        <v>580</v>
      </c>
      <c r="U22" s="33" t="s">
        <v>593</v>
      </c>
      <c r="V22" s="33" t="s">
        <v>732</v>
      </c>
    </row>
    <row r="23" spans="1:22" ht="33.75" hidden="1" x14ac:dyDescent="0.3">
      <c r="A23" s="7">
        <v>118</v>
      </c>
      <c r="B23" s="34" t="s">
        <v>65</v>
      </c>
      <c r="C23" s="7" t="s">
        <v>178</v>
      </c>
      <c r="E23" s="14" t="s">
        <v>224</v>
      </c>
      <c r="F23" s="14" t="s">
        <v>525</v>
      </c>
      <c r="G23" s="14" t="s">
        <v>249</v>
      </c>
      <c r="H23" s="14" t="s">
        <v>210</v>
      </c>
      <c r="I23" s="7" t="s">
        <v>9</v>
      </c>
      <c r="J23" s="3"/>
      <c r="K23" s="3"/>
      <c r="L23" s="15">
        <v>231200118971</v>
      </c>
      <c r="M23" s="3"/>
      <c r="N23" s="3"/>
      <c r="O23" s="8" t="s">
        <v>274</v>
      </c>
      <c r="P23" s="35"/>
      <c r="R23" s="33" t="s">
        <v>505</v>
      </c>
      <c r="S23" s="33" t="s">
        <v>355</v>
      </c>
      <c r="T23" s="33" t="s">
        <v>580</v>
      </c>
      <c r="U23" s="33" t="s">
        <v>592</v>
      </c>
      <c r="V23" s="33" t="s">
        <v>732</v>
      </c>
    </row>
    <row r="24" spans="1:22" ht="33.75" hidden="1" x14ac:dyDescent="0.3">
      <c r="A24" s="7">
        <v>119</v>
      </c>
      <c r="B24" s="34" t="s">
        <v>65</v>
      </c>
      <c r="C24" s="7" t="s">
        <v>178</v>
      </c>
      <c r="E24" s="14" t="s">
        <v>225</v>
      </c>
      <c r="F24" s="14" t="s">
        <v>526</v>
      </c>
      <c r="G24" s="14" t="s">
        <v>250</v>
      </c>
      <c r="H24" s="14" t="s">
        <v>210</v>
      </c>
      <c r="I24" s="7" t="s">
        <v>9</v>
      </c>
      <c r="J24" s="3"/>
      <c r="K24" s="3"/>
      <c r="L24" s="15">
        <v>231200118967</v>
      </c>
      <c r="M24" s="3"/>
      <c r="N24" s="3"/>
      <c r="O24" s="8" t="s">
        <v>275</v>
      </c>
      <c r="P24" s="35"/>
      <c r="R24" s="33" t="s">
        <v>504</v>
      </c>
      <c r="S24" s="33" t="s">
        <v>354</v>
      </c>
      <c r="T24" s="33" t="s">
        <v>580</v>
      </c>
      <c r="U24" s="33" t="s">
        <v>591</v>
      </c>
      <c r="V24" s="33" t="s">
        <v>732</v>
      </c>
    </row>
    <row r="25" spans="1:22" ht="33.75" hidden="1" x14ac:dyDescent="0.3">
      <c r="A25" s="10">
        <v>120</v>
      </c>
      <c r="B25" s="34" t="s">
        <v>65</v>
      </c>
      <c r="C25" s="7" t="s">
        <v>178</v>
      </c>
      <c r="E25" s="14" t="s">
        <v>226</v>
      </c>
      <c r="F25" s="14" t="s">
        <v>527</v>
      </c>
      <c r="G25" s="14" t="s">
        <v>251</v>
      </c>
      <c r="H25" s="14" t="s">
        <v>210</v>
      </c>
      <c r="I25" s="7" t="s">
        <v>9</v>
      </c>
      <c r="J25" s="3"/>
      <c r="K25" s="3"/>
      <c r="L25" s="15">
        <v>231200118966</v>
      </c>
      <c r="M25" s="3"/>
      <c r="N25" s="3"/>
      <c r="O25" s="8" t="s">
        <v>276</v>
      </c>
      <c r="P25" s="35"/>
      <c r="R25" s="33" t="s">
        <v>483</v>
      </c>
      <c r="S25" s="33" t="s">
        <v>333</v>
      </c>
      <c r="T25" s="33" t="s">
        <v>579</v>
      </c>
      <c r="U25" s="33">
        <v>1411162670</v>
      </c>
      <c r="V25" s="33" t="s">
        <v>732</v>
      </c>
    </row>
    <row r="26" spans="1:22" ht="33.75" hidden="1" x14ac:dyDescent="0.3">
      <c r="A26" s="6">
        <v>121</v>
      </c>
      <c r="B26" s="34" t="s">
        <v>65</v>
      </c>
      <c r="C26" s="7" t="s">
        <v>178</v>
      </c>
      <c r="E26" s="14" t="s">
        <v>227</v>
      </c>
      <c r="F26" s="14" t="s">
        <v>528</v>
      </c>
      <c r="G26" s="14" t="s">
        <v>252</v>
      </c>
      <c r="H26" s="14" t="s">
        <v>210</v>
      </c>
      <c r="I26" s="7" t="s">
        <v>9</v>
      </c>
      <c r="J26" s="3"/>
      <c r="K26" s="3"/>
      <c r="L26" s="15">
        <v>231200118965</v>
      </c>
      <c r="M26" s="3"/>
      <c r="N26" s="3"/>
      <c r="O26" s="8" t="s">
        <v>277</v>
      </c>
      <c r="P26" s="35"/>
      <c r="R26" s="33" t="s">
        <v>482</v>
      </c>
      <c r="S26" s="33" t="s">
        <v>332</v>
      </c>
      <c r="T26" s="33" t="s">
        <v>578</v>
      </c>
      <c r="U26" s="33" t="s">
        <v>564</v>
      </c>
      <c r="V26" s="33" t="s">
        <v>732</v>
      </c>
    </row>
    <row r="27" spans="1:22" ht="33.75" hidden="1" x14ac:dyDescent="0.3">
      <c r="A27" s="7">
        <v>122</v>
      </c>
      <c r="B27" s="34" t="s">
        <v>65</v>
      </c>
      <c r="C27" s="7" t="s">
        <v>178</v>
      </c>
      <c r="E27" s="14" t="s">
        <v>228</v>
      </c>
      <c r="F27" s="14" t="s">
        <v>529</v>
      </c>
      <c r="G27" s="14" t="s">
        <v>253</v>
      </c>
      <c r="H27" s="14" t="s">
        <v>210</v>
      </c>
      <c r="I27" s="7" t="s">
        <v>9</v>
      </c>
      <c r="J27" s="3"/>
      <c r="K27" s="3"/>
      <c r="L27" s="15">
        <v>231200117484</v>
      </c>
      <c r="M27" s="3"/>
      <c r="N27" s="3"/>
      <c r="O27" s="8" t="s">
        <v>278</v>
      </c>
      <c r="P27" s="35"/>
      <c r="R27" s="33" t="s">
        <v>481</v>
      </c>
      <c r="S27" s="33" t="s">
        <v>331</v>
      </c>
      <c r="T27" s="33" t="s">
        <v>578</v>
      </c>
      <c r="U27" s="33" t="s">
        <v>563</v>
      </c>
      <c r="V27" s="33" t="s">
        <v>732</v>
      </c>
    </row>
    <row r="28" spans="1:22" ht="33.75" hidden="1" x14ac:dyDescent="0.3">
      <c r="A28" s="7">
        <v>123</v>
      </c>
      <c r="B28" s="34" t="s">
        <v>65</v>
      </c>
      <c r="C28" s="7" t="s">
        <v>178</v>
      </c>
      <c r="E28" s="14" t="s">
        <v>229</v>
      </c>
      <c r="F28" s="14" t="s">
        <v>530</v>
      </c>
      <c r="G28" s="14" t="s">
        <v>254</v>
      </c>
      <c r="H28" s="14" t="s">
        <v>210</v>
      </c>
      <c r="I28" s="7" t="s">
        <v>9</v>
      </c>
      <c r="J28" s="3"/>
      <c r="K28" s="3"/>
      <c r="L28" s="15">
        <v>231200118964</v>
      </c>
      <c r="M28" s="3"/>
      <c r="N28" s="3"/>
      <c r="O28" s="8" t="s">
        <v>279</v>
      </c>
      <c r="P28" s="35"/>
      <c r="R28" s="33" t="s">
        <v>480</v>
      </c>
      <c r="S28" s="33" t="s">
        <v>330</v>
      </c>
      <c r="T28" s="33" t="s">
        <v>578</v>
      </c>
      <c r="U28" s="33" t="s">
        <v>562</v>
      </c>
      <c r="V28" s="33" t="s">
        <v>732</v>
      </c>
    </row>
    <row r="29" spans="1:22" ht="33.75" hidden="1" x14ac:dyDescent="0.3">
      <c r="A29" s="7">
        <v>124</v>
      </c>
      <c r="B29" s="34" t="s">
        <v>65</v>
      </c>
      <c r="C29" s="7" t="s">
        <v>178</v>
      </c>
      <c r="E29" s="14" t="s">
        <v>230</v>
      </c>
      <c r="F29" s="14" t="s">
        <v>531</v>
      </c>
      <c r="G29" s="14" t="s">
        <v>255</v>
      </c>
      <c r="H29" s="14" t="s">
        <v>210</v>
      </c>
      <c r="I29" s="7" t="s">
        <v>9</v>
      </c>
      <c r="J29" s="3"/>
      <c r="K29" s="3"/>
      <c r="L29" s="15">
        <v>231200118962</v>
      </c>
      <c r="M29" s="3"/>
      <c r="N29" s="3"/>
      <c r="O29" s="8" t="s">
        <v>280</v>
      </c>
      <c r="P29" s="35"/>
      <c r="R29" s="33" t="s">
        <v>479</v>
      </c>
      <c r="S29" s="33" t="s">
        <v>329</v>
      </c>
      <c r="T29" s="33" t="s">
        <v>578</v>
      </c>
      <c r="U29" s="33" t="s">
        <v>561</v>
      </c>
      <c r="V29" s="33" t="s">
        <v>732</v>
      </c>
    </row>
    <row r="30" spans="1:22" ht="33.75" hidden="1" x14ac:dyDescent="0.3">
      <c r="A30" s="10">
        <v>125</v>
      </c>
      <c r="B30" s="34" t="s">
        <v>65</v>
      </c>
      <c r="C30" s="7" t="s">
        <v>178</v>
      </c>
      <c r="E30" s="14" t="s">
        <v>231</v>
      </c>
      <c r="F30" s="14" t="s">
        <v>532</v>
      </c>
      <c r="G30" s="14" t="s">
        <v>256</v>
      </c>
      <c r="H30" s="14" t="s">
        <v>210</v>
      </c>
      <c r="I30" s="7" t="s">
        <v>9</v>
      </c>
      <c r="J30" s="3"/>
      <c r="K30" s="3"/>
      <c r="L30" s="15">
        <v>231200118963</v>
      </c>
      <c r="M30" s="3"/>
      <c r="N30" s="3"/>
      <c r="O30" s="8" t="s">
        <v>281</v>
      </c>
      <c r="P30" s="35"/>
      <c r="R30" s="33" t="s">
        <v>478</v>
      </c>
      <c r="S30" s="33" t="s">
        <v>328</v>
      </c>
      <c r="T30" s="33" t="s">
        <v>578</v>
      </c>
      <c r="U30" s="33" t="s">
        <v>560</v>
      </c>
      <c r="V30" s="33" t="s">
        <v>732</v>
      </c>
    </row>
    <row r="31" spans="1:22" ht="33.75" hidden="1" x14ac:dyDescent="0.3">
      <c r="A31" s="6">
        <v>126</v>
      </c>
      <c r="B31" s="34" t="s">
        <v>65</v>
      </c>
      <c r="C31" s="7" t="s">
        <v>178</v>
      </c>
      <c r="E31" s="14" t="s">
        <v>232</v>
      </c>
      <c r="F31" s="14" t="s">
        <v>533</v>
      </c>
      <c r="G31" s="14" t="s">
        <v>257</v>
      </c>
      <c r="H31" s="14" t="s">
        <v>210</v>
      </c>
      <c r="I31" s="7" t="s">
        <v>9</v>
      </c>
      <c r="J31" s="3"/>
      <c r="K31" s="3"/>
      <c r="L31" s="15">
        <v>231200117483</v>
      </c>
      <c r="M31" s="3"/>
      <c r="N31" s="3"/>
      <c r="O31" s="8" t="s">
        <v>282</v>
      </c>
      <c r="P31" s="35"/>
      <c r="R31" s="33" t="s">
        <v>503</v>
      </c>
      <c r="S31" s="33" t="s">
        <v>353</v>
      </c>
      <c r="T31" s="33" t="s">
        <v>583</v>
      </c>
      <c r="U31" s="33" t="s">
        <v>590</v>
      </c>
      <c r="V31" s="33" t="s">
        <v>732</v>
      </c>
    </row>
    <row r="32" spans="1:22" ht="33.75" hidden="1" x14ac:dyDescent="0.3">
      <c r="A32" s="7">
        <v>127</v>
      </c>
      <c r="B32" s="34" t="s">
        <v>65</v>
      </c>
      <c r="C32" s="7" t="s">
        <v>178</v>
      </c>
      <c r="E32" s="14" t="s">
        <v>233</v>
      </c>
      <c r="F32" s="14" t="s">
        <v>534</v>
      </c>
      <c r="G32" s="14" t="s">
        <v>258</v>
      </c>
      <c r="H32" s="14" t="s">
        <v>210</v>
      </c>
      <c r="I32" s="7" t="s">
        <v>9</v>
      </c>
      <c r="J32" s="3"/>
      <c r="K32" s="3"/>
      <c r="L32" s="15">
        <v>231200117482</v>
      </c>
      <c r="M32" s="3"/>
      <c r="N32" s="3"/>
      <c r="O32" s="8" t="s">
        <v>283</v>
      </c>
      <c r="P32" s="35"/>
      <c r="R32" s="33" t="s">
        <v>502</v>
      </c>
      <c r="S32" s="33" t="s">
        <v>352</v>
      </c>
      <c r="T32" s="33" t="s">
        <v>583</v>
      </c>
      <c r="U32" s="33" t="s">
        <v>589</v>
      </c>
      <c r="V32" s="33" t="s">
        <v>732</v>
      </c>
    </row>
    <row r="33" spans="1:91" ht="33.75" hidden="1" x14ac:dyDescent="0.3">
      <c r="A33" s="7">
        <v>128</v>
      </c>
      <c r="B33" s="34" t="s">
        <v>65</v>
      </c>
      <c r="C33" s="7" t="s">
        <v>178</v>
      </c>
      <c r="E33" s="14" t="s">
        <v>234</v>
      </c>
      <c r="F33" s="14" t="s">
        <v>535</v>
      </c>
      <c r="G33" s="14" t="s">
        <v>259</v>
      </c>
      <c r="H33" s="14" t="s">
        <v>210</v>
      </c>
      <c r="I33" s="7" t="s">
        <v>9</v>
      </c>
      <c r="J33" s="3"/>
      <c r="K33" s="3"/>
      <c r="L33" s="15">
        <v>231200117488</v>
      </c>
      <c r="M33" s="3"/>
      <c r="N33" s="3"/>
      <c r="O33" s="8" t="s">
        <v>284</v>
      </c>
      <c r="P33" s="35"/>
      <c r="R33" s="33" t="s">
        <v>501</v>
      </c>
      <c r="S33" s="33" t="s">
        <v>351</v>
      </c>
      <c r="T33" s="33" t="s">
        <v>583</v>
      </c>
      <c r="U33" s="33" t="s">
        <v>588</v>
      </c>
      <c r="V33" s="33" t="s">
        <v>732</v>
      </c>
    </row>
    <row r="34" spans="1:91" ht="33.75" x14ac:dyDescent="0.3">
      <c r="A34" s="10">
        <v>129</v>
      </c>
      <c r="B34" s="34" t="s">
        <v>65</v>
      </c>
      <c r="E34" s="36" t="s">
        <v>286</v>
      </c>
      <c r="F34" s="36" t="s">
        <v>436</v>
      </c>
      <c r="G34" s="36"/>
      <c r="H34" s="36" t="s">
        <v>286</v>
      </c>
      <c r="I34" s="37" t="s">
        <v>9</v>
      </c>
      <c r="J34" s="36"/>
      <c r="K34" s="36" t="str">
        <f t="shared" ref="K34:K97" si="0">VLOOKUP(E34,$S$34:$V$108,3,0)</f>
        <v>Đường D8/N1M Trụ 20B/32/18H- NR 191D/47301053542019</v>
      </c>
      <c r="L34" s="36" t="str">
        <f t="shared" ref="L34:L97" si="1">VLOOKUP(E34,$S$34:$V$108,4,0)</f>
        <v>11435501</v>
      </c>
      <c r="M34" s="36"/>
      <c r="N34" s="36"/>
      <c r="O34" s="36" t="s">
        <v>361</v>
      </c>
      <c r="P34" s="35"/>
      <c r="R34" s="38" t="s">
        <v>490</v>
      </c>
      <c r="S34" s="38" t="s">
        <v>340</v>
      </c>
      <c r="T34" s="38" t="s">
        <v>65</v>
      </c>
      <c r="U34" s="38" t="s">
        <v>550</v>
      </c>
      <c r="V34" s="38" t="s">
        <v>571</v>
      </c>
      <c r="W34" s="39"/>
      <c r="X34" s="39"/>
      <c r="Y34" s="39"/>
      <c r="Z34" s="39"/>
      <c r="AA34" s="39"/>
      <c r="AB34" s="39"/>
      <c r="AC34" s="39"/>
      <c r="AD34" s="39"/>
      <c r="AE34" s="39"/>
      <c r="AF34" s="39"/>
      <c r="AG34" s="39"/>
      <c r="AH34" s="39"/>
      <c r="AI34" s="39"/>
      <c r="AJ34" s="39"/>
      <c r="AK34" s="39"/>
      <c r="AL34" s="39"/>
      <c r="AM34" s="39"/>
      <c r="AN34" s="39"/>
      <c r="AO34" s="39"/>
      <c r="AP34" s="39"/>
      <c r="AQ34" s="39"/>
      <c r="AR34" s="39"/>
      <c r="AS34" s="39"/>
      <c r="AT34" s="39"/>
      <c r="AU34" s="39"/>
      <c r="AV34" s="39"/>
      <c r="AW34" s="39"/>
      <c r="AX34" s="39"/>
      <c r="AY34" s="39"/>
      <c r="AZ34" s="39"/>
      <c r="BA34" s="39"/>
      <c r="BB34" s="39"/>
      <c r="BC34" s="39"/>
      <c r="BD34" s="39"/>
      <c r="BE34" s="40"/>
      <c r="BF34" s="40"/>
      <c r="BG34" s="40"/>
      <c r="BH34" s="40"/>
      <c r="BI34" s="40"/>
      <c r="BJ34" s="40"/>
      <c r="BK34" s="39"/>
      <c r="BL34" s="39"/>
      <c r="BM34" s="39"/>
      <c r="BN34" s="39"/>
      <c r="BO34" s="40"/>
      <c r="BP34" s="39"/>
      <c r="BQ34" s="40"/>
      <c r="BR34" s="40"/>
      <c r="BS34" s="40"/>
      <c r="BT34" s="40"/>
      <c r="BU34" s="40"/>
      <c r="BV34" s="39"/>
      <c r="BW34" s="39"/>
      <c r="BX34" s="39"/>
      <c r="BY34" s="39"/>
      <c r="BZ34" s="39"/>
      <c r="CA34" s="40"/>
      <c r="CB34" s="39"/>
      <c r="CC34" s="39"/>
      <c r="CD34" s="39"/>
      <c r="CE34" s="39"/>
      <c r="CF34" s="40"/>
      <c r="CG34" s="40"/>
      <c r="CH34" s="40"/>
      <c r="CI34" s="40"/>
      <c r="CJ34" s="40"/>
      <c r="CK34" s="40"/>
      <c r="CL34" s="40"/>
      <c r="CM34" s="40"/>
    </row>
    <row r="35" spans="1:91" ht="33.75" x14ac:dyDescent="0.3">
      <c r="A35" s="6">
        <v>130</v>
      </c>
      <c r="B35" s="34" t="s">
        <v>65</v>
      </c>
      <c r="E35" s="36" t="s">
        <v>287</v>
      </c>
      <c r="F35" s="36" t="s">
        <v>437</v>
      </c>
      <c r="G35" s="36"/>
      <c r="H35" s="36" t="s">
        <v>286</v>
      </c>
      <c r="I35" s="36"/>
      <c r="J35" s="36"/>
      <c r="K35" s="36" t="str">
        <f t="shared" si="0"/>
        <v>Đường D8/N1M Trụ 20B/32/18H- NR 191D/47301053542019</v>
      </c>
      <c r="L35" s="36" t="str">
        <f t="shared" si="1"/>
        <v>11435128</v>
      </c>
      <c r="M35" s="36"/>
      <c r="N35" s="36"/>
      <c r="O35" s="36" t="s">
        <v>362</v>
      </c>
      <c r="P35" s="35"/>
      <c r="R35" s="41" t="s">
        <v>489</v>
      </c>
      <c r="S35" s="41" t="s">
        <v>339</v>
      </c>
      <c r="T35" s="41" t="s">
        <v>65</v>
      </c>
      <c r="U35" s="41" t="s">
        <v>550</v>
      </c>
      <c r="V35" s="41" t="s">
        <v>570</v>
      </c>
      <c r="W35" s="42"/>
      <c r="X35" s="42"/>
      <c r="Y35" s="42"/>
      <c r="Z35" s="42"/>
      <c r="AA35" s="42"/>
      <c r="AB35" s="42"/>
      <c r="AC35" s="42"/>
      <c r="AD35" s="42"/>
      <c r="AE35" s="42"/>
      <c r="AF35" s="42"/>
      <c r="AG35" s="42"/>
      <c r="AH35" s="42"/>
      <c r="AI35" s="42"/>
      <c r="AJ35" s="42"/>
      <c r="AK35" s="42"/>
      <c r="AL35" s="42"/>
      <c r="AM35" s="42"/>
      <c r="AN35" s="42"/>
      <c r="AO35" s="42"/>
      <c r="AP35" s="42"/>
      <c r="AQ35" s="42"/>
      <c r="AR35" s="42"/>
      <c r="AS35" s="42"/>
      <c r="AT35" s="42"/>
      <c r="AU35" s="42"/>
      <c r="AV35" s="42"/>
      <c r="AW35" s="42"/>
      <c r="AX35" s="42"/>
      <c r="AY35" s="42"/>
      <c r="AZ35" s="42"/>
      <c r="BA35" s="42"/>
      <c r="BB35" s="42"/>
      <c r="BC35" s="42"/>
      <c r="BD35" s="42"/>
      <c r="BE35" s="42"/>
      <c r="BF35" s="42"/>
      <c r="BG35" s="42"/>
      <c r="BH35" s="42"/>
      <c r="BI35" s="42"/>
      <c r="BJ35" s="42"/>
      <c r="BK35" s="42"/>
      <c r="BL35" s="42"/>
      <c r="BM35" s="42"/>
      <c r="BN35" s="42"/>
      <c r="BO35" s="42"/>
      <c r="BP35" s="42"/>
      <c r="BQ35" s="42"/>
      <c r="BR35" s="42"/>
      <c r="BS35" s="42"/>
      <c r="BT35" s="42"/>
      <c r="BU35" s="42"/>
      <c r="BV35" s="42"/>
      <c r="BW35" s="42"/>
      <c r="BX35" s="42"/>
      <c r="BY35" s="42"/>
      <c r="BZ35" s="42"/>
      <c r="CA35" s="42"/>
      <c r="CB35" s="42"/>
      <c r="CC35" s="42"/>
      <c r="CD35" s="42"/>
      <c r="CE35" s="42"/>
      <c r="CF35" s="42"/>
      <c r="CG35" s="42"/>
      <c r="CH35" s="42"/>
      <c r="CI35" s="42"/>
      <c r="CJ35" s="42"/>
      <c r="CK35" s="42"/>
      <c r="CL35" s="42"/>
      <c r="CM35" s="42"/>
    </row>
    <row r="36" spans="1:91" ht="33.75" x14ac:dyDescent="0.3">
      <c r="A36" s="7">
        <v>131</v>
      </c>
      <c r="B36" s="34" t="s">
        <v>65</v>
      </c>
      <c r="E36" s="36" t="s">
        <v>288</v>
      </c>
      <c r="F36" s="36" t="s">
        <v>438</v>
      </c>
      <c r="G36" s="36"/>
      <c r="H36" s="36" t="s">
        <v>286</v>
      </c>
      <c r="I36" s="36"/>
      <c r="J36" s="36"/>
      <c r="K36" s="36" t="str">
        <f t="shared" si="0"/>
        <v>Đường D8/N1M Trụ 20B/32/18H- NR 191D/47301053542019</v>
      </c>
      <c r="L36" s="36" t="str">
        <f t="shared" si="1"/>
        <v>11581284</v>
      </c>
      <c r="M36" s="36"/>
      <c r="N36" s="36"/>
      <c r="O36" s="36" t="s">
        <v>363</v>
      </c>
      <c r="P36" s="35"/>
      <c r="R36" s="41" t="s">
        <v>488</v>
      </c>
      <c r="S36" s="41" t="s">
        <v>338</v>
      </c>
      <c r="T36" s="41" t="s">
        <v>65</v>
      </c>
      <c r="U36" s="41" t="s">
        <v>581</v>
      </c>
      <c r="V36" s="41" t="s">
        <v>569</v>
      </c>
      <c r="W36" s="42"/>
      <c r="X36" s="42"/>
      <c r="Y36" s="42"/>
      <c r="Z36" s="42"/>
      <c r="AA36" s="42"/>
      <c r="AB36" s="42"/>
      <c r="AC36" s="42"/>
      <c r="AD36" s="42"/>
      <c r="AE36" s="42"/>
      <c r="AF36" s="42"/>
      <c r="AG36" s="42"/>
      <c r="AH36" s="42"/>
      <c r="AI36" s="42"/>
      <c r="AJ36" s="42"/>
      <c r="AK36" s="42"/>
      <c r="AL36" s="42"/>
      <c r="AM36" s="42"/>
      <c r="AN36" s="42"/>
      <c r="AO36" s="42"/>
      <c r="AP36" s="42"/>
      <c r="AQ36" s="42"/>
      <c r="AR36" s="42"/>
      <c r="AS36" s="42"/>
      <c r="AT36" s="42"/>
      <c r="AU36" s="42"/>
      <c r="AV36" s="42"/>
      <c r="AW36" s="42"/>
      <c r="AX36" s="42"/>
      <c r="AY36" s="42"/>
      <c r="AZ36" s="42"/>
      <c r="BA36" s="42"/>
      <c r="BB36" s="42"/>
      <c r="BC36" s="42"/>
      <c r="BD36" s="42"/>
      <c r="BE36" s="42"/>
      <c r="BF36" s="42"/>
      <c r="BG36" s="42"/>
      <c r="BH36" s="42"/>
      <c r="BI36" s="42"/>
      <c r="BJ36" s="42"/>
      <c r="BK36" s="42"/>
      <c r="BL36" s="42"/>
      <c r="BM36" s="42"/>
      <c r="BN36" s="42"/>
      <c r="BO36" s="42"/>
      <c r="BP36" s="42"/>
      <c r="BQ36" s="42"/>
      <c r="BR36" s="42"/>
      <c r="BS36" s="42"/>
      <c r="BT36" s="42"/>
      <c r="BU36" s="42"/>
      <c r="BV36" s="42"/>
      <c r="BW36" s="42"/>
      <c r="BX36" s="42"/>
      <c r="BY36" s="42"/>
      <c r="BZ36" s="42"/>
      <c r="CA36" s="42"/>
      <c r="CB36" s="42"/>
      <c r="CC36" s="42"/>
      <c r="CD36" s="42"/>
      <c r="CE36" s="42"/>
      <c r="CF36" s="42"/>
      <c r="CG36" s="42"/>
      <c r="CH36" s="42"/>
      <c r="CI36" s="42"/>
      <c r="CJ36" s="42"/>
      <c r="CK36" s="42"/>
      <c r="CL36" s="42"/>
      <c r="CM36" s="42"/>
    </row>
    <row r="37" spans="1:91" ht="33.75" x14ac:dyDescent="0.3">
      <c r="A37" s="7">
        <v>132</v>
      </c>
      <c r="B37" s="34" t="s">
        <v>65</v>
      </c>
      <c r="E37" s="36" t="s">
        <v>289</v>
      </c>
      <c r="F37" s="36" t="s">
        <v>439</v>
      </c>
      <c r="G37" s="36"/>
      <c r="H37" s="36" t="s">
        <v>286</v>
      </c>
      <c r="I37" s="36"/>
      <c r="J37" s="36"/>
      <c r="K37" s="36" t="str">
        <f t="shared" si="0"/>
        <v>Đường D8/N1M Trụ 20B/32/18H- NR 191D/47301053542019</v>
      </c>
      <c r="L37" s="36" t="str">
        <f t="shared" si="1"/>
        <v>11582892</v>
      </c>
      <c r="M37" s="36"/>
      <c r="N37" s="36"/>
      <c r="O37" s="36" t="s">
        <v>364</v>
      </c>
      <c r="P37" s="35"/>
      <c r="R37" s="41" t="s">
        <v>487</v>
      </c>
      <c r="S37" s="41" t="s">
        <v>337</v>
      </c>
      <c r="T37" s="41" t="s">
        <v>65</v>
      </c>
      <c r="U37" s="41" t="s">
        <v>581</v>
      </c>
      <c r="V37" s="41" t="s">
        <v>568</v>
      </c>
      <c r="W37" s="42"/>
      <c r="X37" s="42"/>
      <c r="Y37" s="42"/>
      <c r="Z37" s="42"/>
      <c r="AA37" s="42"/>
      <c r="AB37" s="42"/>
      <c r="AC37" s="42"/>
      <c r="AD37" s="42"/>
      <c r="AE37" s="42"/>
      <c r="AF37" s="42"/>
      <c r="AG37" s="42"/>
      <c r="AH37" s="42"/>
      <c r="AI37" s="42"/>
      <c r="AJ37" s="42"/>
      <c r="AK37" s="42"/>
      <c r="AL37" s="42"/>
      <c r="AM37" s="42"/>
      <c r="AN37" s="42"/>
      <c r="AO37" s="42"/>
      <c r="AP37" s="42"/>
      <c r="AQ37" s="42"/>
      <c r="AR37" s="42"/>
      <c r="AS37" s="42"/>
      <c r="AT37" s="42"/>
      <c r="AU37" s="42"/>
      <c r="AV37" s="42"/>
      <c r="AW37" s="42"/>
      <c r="AX37" s="42"/>
      <c r="AY37" s="42"/>
      <c r="AZ37" s="42"/>
      <c r="BA37" s="42"/>
      <c r="BB37" s="42"/>
      <c r="BC37" s="42"/>
      <c r="BD37" s="42"/>
      <c r="BE37" s="42"/>
      <c r="BF37" s="42"/>
      <c r="BG37" s="42"/>
      <c r="BH37" s="42"/>
      <c r="BI37" s="42"/>
      <c r="BJ37" s="42"/>
      <c r="BK37" s="42"/>
      <c r="BL37" s="42"/>
      <c r="BM37" s="42"/>
      <c r="BN37" s="42"/>
      <c r="BO37" s="42"/>
      <c r="BP37" s="42"/>
      <c r="BQ37" s="42"/>
      <c r="BR37" s="42"/>
      <c r="BS37" s="42"/>
      <c r="BT37" s="42"/>
      <c r="BU37" s="42"/>
      <c r="BV37" s="42"/>
      <c r="BW37" s="42"/>
      <c r="BX37" s="42"/>
      <c r="BY37" s="42"/>
      <c r="BZ37" s="42"/>
      <c r="CA37" s="42"/>
      <c r="CB37" s="42"/>
      <c r="CC37" s="42"/>
      <c r="CD37" s="42"/>
      <c r="CE37" s="42"/>
      <c r="CF37" s="42"/>
      <c r="CG37" s="42"/>
      <c r="CH37" s="42"/>
      <c r="CI37" s="42"/>
      <c r="CJ37" s="42"/>
      <c r="CK37" s="42"/>
      <c r="CL37" s="42"/>
      <c r="CM37" s="42"/>
    </row>
    <row r="38" spans="1:91" ht="33.75" x14ac:dyDescent="0.3">
      <c r="A38" s="10">
        <v>133</v>
      </c>
      <c r="B38" s="34" t="s">
        <v>65</v>
      </c>
      <c r="E38" s="43" t="s">
        <v>290</v>
      </c>
      <c r="F38" s="43" t="s">
        <v>440</v>
      </c>
      <c r="G38" s="43"/>
      <c r="H38" s="43" t="s">
        <v>286</v>
      </c>
      <c r="I38" s="43"/>
      <c r="J38" s="43"/>
      <c r="K38" s="43" t="e">
        <f t="shared" si="0"/>
        <v>#N/A</v>
      </c>
      <c r="L38" s="43" t="e">
        <f t="shared" si="1"/>
        <v>#N/A</v>
      </c>
      <c r="M38" s="35"/>
      <c r="N38" s="35"/>
      <c r="O38" s="35" t="s">
        <v>365</v>
      </c>
      <c r="P38" s="35"/>
      <c r="R38" s="41" t="s">
        <v>449</v>
      </c>
      <c r="S38" s="41" t="s">
        <v>299</v>
      </c>
      <c r="T38" s="41" t="s">
        <v>65</v>
      </c>
      <c r="U38" s="41" t="s">
        <v>550</v>
      </c>
      <c r="V38" s="41" t="s">
        <v>549</v>
      </c>
      <c r="W38" s="42"/>
      <c r="X38" s="42"/>
      <c r="Y38" s="42"/>
      <c r="Z38" s="42"/>
      <c r="AA38" s="42"/>
      <c r="AB38" s="42"/>
      <c r="AC38" s="42"/>
      <c r="AD38" s="42"/>
      <c r="AE38" s="42"/>
      <c r="AF38" s="42"/>
      <c r="AG38" s="42"/>
      <c r="AH38" s="42"/>
      <c r="AI38" s="42"/>
      <c r="AJ38" s="42"/>
      <c r="AK38" s="42"/>
      <c r="AL38" s="42"/>
      <c r="AM38" s="42"/>
      <c r="AN38" s="42"/>
      <c r="AO38" s="42"/>
      <c r="AP38" s="42"/>
      <c r="AQ38" s="42"/>
      <c r="AR38" s="42"/>
      <c r="AS38" s="42"/>
      <c r="AT38" s="42"/>
      <c r="AU38" s="42"/>
      <c r="AV38" s="42"/>
      <c r="AW38" s="42"/>
      <c r="AX38" s="42"/>
      <c r="AY38" s="42"/>
      <c r="AZ38" s="42"/>
      <c r="BA38" s="42"/>
      <c r="BB38" s="42"/>
      <c r="BC38" s="42"/>
      <c r="BD38" s="42"/>
      <c r="BE38" s="42"/>
      <c r="BF38" s="42"/>
      <c r="BG38" s="42"/>
      <c r="BH38" s="42"/>
      <c r="BI38" s="42"/>
      <c r="BJ38" s="42"/>
      <c r="BK38" s="42"/>
      <c r="BL38" s="42"/>
      <c r="BM38" s="42"/>
      <c r="BN38" s="42"/>
      <c r="BO38" s="42"/>
      <c r="BP38" s="42"/>
      <c r="BQ38" s="42"/>
      <c r="BR38" s="42"/>
      <c r="BS38" s="42"/>
      <c r="BT38" s="42"/>
      <c r="BU38" s="42"/>
      <c r="BV38" s="42"/>
      <c r="BW38" s="42"/>
      <c r="BX38" s="42"/>
      <c r="BY38" s="42"/>
      <c r="BZ38" s="42"/>
      <c r="CA38" s="42"/>
      <c r="CB38" s="42"/>
      <c r="CC38" s="42"/>
      <c r="CD38" s="42"/>
      <c r="CE38" s="42"/>
      <c r="CF38" s="42"/>
      <c r="CG38" s="42"/>
      <c r="CH38" s="42"/>
      <c r="CI38" s="42"/>
      <c r="CJ38" s="42"/>
      <c r="CK38" s="42"/>
      <c r="CL38" s="42"/>
      <c r="CM38" s="42"/>
    </row>
    <row r="39" spans="1:91" ht="33.75" x14ac:dyDescent="0.3">
      <c r="A39" s="6">
        <v>134</v>
      </c>
      <c r="B39" s="34" t="s">
        <v>65</v>
      </c>
      <c r="E39" s="36" t="s">
        <v>291</v>
      </c>
      <c r="F39" s="36" t="s">
        <v>441</v>
      </c>
      <c r="G39" s="36"/>
      <c r="H39" s="36" t="s">
        <v>286</v>
      </c>
      <c r="I39" s="36"/>
      <c r="J39" s="36"/>
      <c r="K39" s="36" t="str">
        <f t="shared" si="0"/>
        <v>Đường D8/N1M Trụ 20B/32/18H- NR 191D/47301053542019</v>
      </c>
      <c r="L39" s="36" t="str">
        <f t="shared" si="1"/>
        <v>11580929</v>
      </c>
      <c r="M39" s="36"/>
      <c r="N39" s="36"/>
      <c r="O39" s="36" t="s">
        <v>366</v>
      </c>
      <c r="P39" s="35"/>
      <c r="R39" s="38" t="s">
        <v>486</v>
      </c>
      <c r="S39" s="41" t="s">
        <v>336</v>
      </c>
      <c r="T39" s="41" t="s">
        <v>65</v>
      </c>
      <c r="U39" s="41" t="s">
        <v>550</v>
      </c>
      <c r="V39" s="41" t="s">
        <v>567</v>
      </c>
    </row>
    <row r="40" spans="1:91" ht="33.75" x14ac:dyDescent="0.3">
      <c r="A40" s="7">
        <v>135</v>
      </c>
      <c r="B40" s="34" t="s">
        <v>65</v>
      </c>
      <c r="E40" s="44" t="s">
        <v>292</v>
      </c>
      <c r="F40" s="44" t="s">
        <v>442</v>
      </c>
      <c r="G40" s="44"/>
      <c r="H40" s="44" t="s">
        <v>286</v>
      </c>
      <c r="I40" s="44"/>
      <c r="J40" s="44"/>
      <c r="K40" s="44" t="str">
        <f>VLOOKUP(E40,$S$34:$V$108,3,0)</f>
        <v>Đường D8/N1M Trụ 20B/32/19H- NR 191D/47301053542019</v>
      </c>
      <c r="L40" s="44" t="str">
        <f t="shared" si="1"/>
        <v>11580292</v>
      </c>
      <c r="M40" s="44"/>
      <c r="N40" s="44"/>
      <c r="O40" s="44" t="s">
        <v>367</v>
      </c>
      <c r="P40" s="35"/>
      <c r="R40" s="38" t="s">
        <v>485</v>
      </c>
      <c r="S40" s="41" t="s">
        <v>335</v>
      </c>
      <c r="T40" s="41" t="s">
        <v>65</v>
      </c>
      <c r="U40" s="41" t="s">
        <v>580</v>
      </c>
      <c r="V40" s="41" t="s">
        <v>566</v>
      </c>
    </row>
    <row r="41" spans="1:91" ht="33.75" x14ac:dyDescent="0.3">
      <c r="A41" s="7">
        <v>136</v>
      </c>
      <c r="B41" s="34" t="s">
        <v>65</v>
      </c>
      <c r="E41" s="44" t="s">
        <v>293</v>
      </c>
      <c r="F41" s="44" t="s">
        <v>443</v>
      </c>
      <c r="G41" s="44"/>
      <c r="H41" s="44" t="s">
        <v>286</v>
      </c>
      <c r="I41" s="44"/>
      <c r="J41" s="44"/>
      <c r="K41" s="44" t="str">
        <f t="shared" si="0"/>
        <v>Đường D8/N1M Trụ 20B/32/19H- NR 191D/47301053542019</v>
      </c>
      <c r="L41" s="44" t="str">
        <f t="shared" si="1"/>
        <v>11582715</v>
      </c>
      <c r="M41" s="44"/>
      <c r="N41" s="44"/>
      <c r="O41" s="44" t="s">
        <v>368</v>
      </c>
      <c r="P41" s="35"/>
      <c r="R41" s="38" t="s">
        <v>484</v>
      </c>
      <c r="S41" s="41" t="s">
        <v>334</v>
      </c>
      <c r="T41" s="41" t="s">
        <v>65</v>
      </c>
      <c r="U41" s="41" t="s">
        <v>580</v>
      </c>
      <c r="V41" s="41" t="s">
        <v>565</v>
      </c>
    </row>
    <row r="42" spans="1:91" ht="33.75" x14ac:dyDescent="0.3">
      <c r="A42" s="10">
        <v>137</v>
      </c>
      <c r="B42" s="34" t="s">
        <v>65</v>
      </c>
      <c r="E42" s="44" t="s">
        <v>294</v>
      </c>
      <c r="F42" s="44" t="s">
        <v>444</v>
      </c>
      <c r="G42" s="44"/>
      <c r="H42" s="44" t="s">
        <v>286</v>
      </c>
      <c r="I42" s="44"/>
      <c r="J42" s="44"/>
      <c r="K42" s="44" t="str">
        <f>VLOOKUP(E42,$S$34:$V$108,3,0)</f>
        <v>Đường D8/N1M Trụ 20B/32/19H- NR 191D/47301053542019</v>
      </c>
      <c r="L42" s="44" t="str">
        <f t="shared" si="1"/>
        <v>11435215</v>
      </c>
      <c r="M42" s="44"/>
      <c r="N42" s="44"/>
      <c r="O42" s="44" t="s">
        <v>369</v>
      </c>
      <c r="P42" s="35"/>
      <c r="R42" s="38" t="s">
        <v>491</v>
      </c>
      <c r="S42" s="41" t="s">
        <v>341</v>
      </c>
      <c r="T42" s="41" t="s">
        <v>65</v>
      </c>
      <c r="U42" s="41" t="s">
        <v>580</v>
      </c>
      <c r="V42" s="41" t="s">
        <v>572</v>
      </c>
    </row>
    <row r="43" spans="1:91" ht="33.75" x14ac:dyDescent="0.3">
      <c r="A43" s="6">
        <v>138</v>
      </c>
      <c r="B43" s="34" t="s">
        <v>65</v>
      </c>
      <c r="E43" s="44" t="s">
        <v>295</v>
      </c>
      <c r="F43" s="44" t="s">
        <v>445</v>
      </c>
      <c r="G43" s="44"/>
      <c r="H43" s="44" t="s">
        <v>286</v>
      </c>
      <c r="I43" s="44"/>
      <c r="J43" s="44"/>
      <c r="K43" s="44" t="str">
        <f t="shared" si="0"/>
        <v>Đường D8/N1M Trụ 20B/32/19H- NR 191D/47301053542019</v>
      </c>
      <c r="L43" s="44" t="str">
        <f>VLOOKUP(E43,$S$34:$V$108,4,0)</f>
        <v>11583324</v>
      </c>
      <c r="M43" s="44"/>
      <c r="N43" s="44"/>
      <c r="O43" s="44" t="s">
        <v>370</v>
      </c>
      <c r="P43" s="35"/>
      <c r="R43" s="38" t="s">
        <v>510</v>
      </c>
      <c r="S43" s="41" t="s">
        <v>360</v>
      </c>
      <c r="T43" s="41" t="s">
        <v>65</v>
      </c>
      <c r="U43" s="41" t="s">
        <v>580</v>
      </c>
      <c r="V43" s="41" t="s">
        <v>597</v>
      </c>
    </row>
    <row r="44" spans="1:91" ht="33.75" x14ac:dyDescent="0.3">
      <c r="A44" s="7">
        <v>139</v>
      </c>
      <c r="B44" s="34" t="s">
        <v>65</v>
      </c>
      <c r="E44" s="43" t="s">
        <v>296</v>
      </c>
      <c r="F44" s="43" t="s">
        <v>446</v>
      </c>
      <c r="G44" s="43"/>
      <c r="H44" s="43" t="s">
        <v>286</v>
      </c>
      <c r="I44" s="43"/>
      <c r="J44" s="43"/>
      <c r="K44" s="43" t="e">
        <f t="shared" si="0"/>
        <v>#N/A</v>
      </c>
      <c r="L44" s="43" t="e">
        <f t="shared" si="1"/>
        <v>#N/A</v>
      </c>
      <c r="M44" s="35"/>
      <c r="N44" s="35"/>
      <c r="O44" s="35" t="s">
        <v>371</v>
      </c>
      <c r="P44" s="35"/>
      <c r="R44" s="38" t="s">
        <v>509</v>
      </c>
      <c r="S44" s="41" t="s">
        <v>359</v>
      </c>
      <c r="T44" s="41" t="s">
        <v>65</v>
      </c>
      <c r="U44" s="41" t="s">
        <v>580</v>
      </c>
      <c r="V44" s="41" t="s">
        <v>596</v>
      </c>
    </row>
    <row r="45" spans="1:91" ht="33.75" x14ac:dyDescent="0.3">
      <c r="A45" s="7">
        <v>140</v>
      </c>
      <c r="B45" s="34" t="s">
        <v>65</v>
      </c>
      <c r="E45" s="44" t="s">
        <v>297</v>
      </c>
      <c r="F45" s="44" t="s">
        <v>447</v>
      </c>
      <c r="G45" s="44"/>
      <c r="H45" s="44" t="s">
        <v>286</v>
      </c>
      <c r="I45" s="44"/>
      <c r="J45" s="44"/>
      <c r="K45" s="44" t="str">
        <f t="shared" si="0"/>
        <v>Đường D8/N1M Trụ 20B/32/19H- NR 191D/47301053542019</v>
      </c>
      <c r="L45" s="44" t="str">
        <f t="shared" si="1"/>
        <v>11581267</v>
      </c>
      <c r="M45" s="44"/>
      <c r="N45" s="44"/>
      <c r="O45" s="44" t="s">
        <v>372</v>
      </c>
      <c r="P45" s="35"/>
      <c r="R45" s="38" t="s">
        <v>508</v>
      </c>
      <c r="S45" s="41" t="s">
        <v>358</v>
      </c>
      <c r="T45" s="41" t="s">
        <v>65</v>
      </c>
      <c r="U45" s="41" t="s">
        <v>580</v>
      </c>
      <c r="V45" s="41" t="s">
        <v>595</v>
      </c>
    </row>
    <row r="46" spans="1:91" ht="33.75" x14ac:dyDescent="0.3">
      <c r="A46" s="10">
        <v>141</v>
      </c>
      <c r="B46" s="34" t="s">
        <v>65</v>
      </c>
      <c r="E46" s="44" t="s">
        <v>298</v>
      </c>
      <c r="F46" s="44" t="s">
        <v>448</v>
      </c>
      <c r="G46" s="44"/>
      <c r="H46" s="44" t="s">
        <v>286</v>
      </c>
      <c r="I46" s="44"/>
      <c r="J46" s="44"/>
      <c r="K46" s="44" t="str">
        <f t="shared" si="0"/>
        <v>Đường D8/N1M Trụ 20B/32/19H- NR 191D/47301053542019</v>
      </c>
      <c r="L46" s="44" t="str">
        <f t="shared" si="1"/>
        <v>11581345</v>
      </c>
      <c r="M46" s="44"/>
      <c r="N46" s="44"/>
      <c r="O46" s="44" t="s">
        <v>373</v>
      </c>
      <c r="P46" s="35"/>
      <c r="R46" s="38" t="s">
        <v>507</v>
      </c>
      <c r="S46" s="41" t="s">
        <v>357</v>
      </c>
      <c r="T46" s="41" t="s">
        <v>65</v>
      </c>
      <c r="U46" s="41" t="s">
        <v>580</v>
      </c>
      <c r="V46" s="41" t="s">
        <v>594</v>
      </c>
    </row>
    <row r="47" spans="1:91" ht="33.75" x14ac:dyDescent="0.3">
      <c r="A47" s="6">
        <v>142</v>
      </c>
      <c r="B47" s="34" t="s">
        <v>65</v>
      </c>
      <c r="E47" s="45" t="s">
        <v>299</v>
      </c>
      <c r="F47" s="45" t="s">
        <v>449</v>
      </c>
      <c r="G47" s="45"/>
      <c r="H47" s="45" t="s">
        <v>286</v>
      </c>
      <c r="I47" s="45"/>
      <c r="J47" s="45"/>
      <c r="K47" s="45" t="str">
        <f t="shared" si="0"/>
        <v>Đường D8/N1M Trụ 20B/32/4H- NR 191D/47301053542000</v>
      </c>
      <c r="L47" s="45" t="str">
        <f t="shared" si="1"/>
        <v>1411223381</v>
      </c>
      <c r="M47" s="45"/>
      <c r="N47" s="45"/>
      <c r="O47" s="45" t="s">
        <v>374</v>
      </c>
      <c r="P47" s="35"/>
      <c r="R47" s="38" t="s">
        <v>506</v>
      </c>
      <c r="S47" s="41" t="s">
        <v>356</v>
      </c>
      <c r="T47" s="41" t="s">
        <v>65</v>
      </c>
      <c r="U47" s="41" t="s">
        <v>580</v>
      </c>
      <c r="V47" s="41" t="s">
        <v>593</v>
      </c>
    </row>
    <row r="48" spans="1:91" ht="33.75" x14ac:dyDescent="0.3">
      <c r="A48" s="7">
        <v>143</v>
      </c>
      <c r="B48" s="34" t="s">
        <v>65</v>
      </c>
      <c r="E48" s="43" t="s">
        <v>300</v>
      </c>
      <c r="F48" s="43" t="s">
        <v>450</v>
      </c>
      <c r="G48" s="43"/>
      <c r="H48" s="43" t="s">
        <v>286</v>
      </c>
      <c r="I48" s="43"/>
      <c r="J48" s="43"/>
      <c r="K48" s="43" t="e">
        <f t="shared" si="0"/>
        <v>#N/A</v>
      </c>
      <c r="L48" s="43" t="e">
        <f t="shared" si="1"/>
        <v>#N/A</v>
      </c>
      <c r="M48" s="35"/>
      <c r="N48" s="35"/>
      <c r="O48" s="35" t="s">
        <v>375</v>
      </c>
      <c r="P48" s="35"/>
      <c r="R48" s="38" t="s">
        <v>505</v>
      </c>
      <c r="S48" s="41" t="s">
        <v>355</v>
      </c>
      <c r="T48" s="41" t="s">
        <v>65</v>
      </c>
      <c r="U48" s="41" t="s">
        <v>580</v>
      </c>
      <c r="V48" s="41" t="s">
        <v>592</v>
      </c>
    </row>
    <row r="49" spans="1:22" ht="33.75" x14ac:dyDescent="0.3">
      <c r="A49" s="7">
        <v>144</v>
      </c>
      <c r="B49" s="34" t="s">
        <v>65</v>
      </c>
      <c r="E49" s="43" t="s">
        <v>301</v>
      </c>
      <c r="F49" s="43" t="s">
        <v>451</v>
      </c>
      <c r="G49" s="43"/>
      <c r="H49" s="43" t="s">
        <v>286</v>
      </c>
      <c r="I49" s="43"/>
      <c r="J49" s="43"/>
      <c r="K49" s="43" t="e">
        <f t="shared" si="0"/>
        <v>#N/A</v>
      </c>
      <c r="L49" s="43" t="e">
        <f t="shared" si="1"/>
        <v>#N/A</v>
      </c>
      <c r="M49" s="35"/>
      <c r="N49" s="35"/>
      <c r="O49" s="35" t="s">
        <v>376</v>
      </c>
      <c r="P49" s="35"/>
      <c r="R49" s="38" t="s">
        <v>504</v>
      </c>
      <c r="S49" s="41" t="s">
        <v>354</v>
      </c>
      <c r="T49" s="41" t="s">
        <v>65</v>
      </c>
      <c r="U49" s="41" t="s">
        <v>580</v>
      </c>
      <c r="V49" s="41" t="s">
        <v>591</v>
      </c>
    </row>
    <row r="50" spans="1:22" ht="33.75" x14ac:dyDescent="0.3">
      <c r="A50" s="10">
        <v>145</v>
      </c>
      <c r="B50" s="34" t="s">
        <v>65</v>
      </c>
      <c r="E50" s="43" t="s">
        <v>302</v>
      </c>
      <c r="F50" s="43" t="s">
        <v>452</v>
      </c>
      <c r="G50" s="43"/>
      <c r="H50" s="43" t="s">
        <v>286</v>
      </c>
      <c r="I50" s="43"/>
      <c r="J50" s="43"/>
      <c r="K50" s="43" t="e">
        <f t="shared" si="0"/>
        <v>#N/A</v>
      </c>
      <c r="L50" s="43" t="e">
        <f t="shared" si="1"/>
        <v>#N/A</v>
      </c>
      <c r="M50" s="35"/>
      <c r="N50" s="35"/>
      <c r="O50" s="35" t="s">
        <v>377</v>
      </c>
      <c r="P50" s="35"/>
      <c r="R50" s="38" t="s">
        <v>483</v>
      </c>
      <c r="S50" s="41" t="s">
        <v>333</v>
      </c>
      <c r="T50" s="41" t="s">
        <v>65</v>
      </c>
      <c r="U50" s="41" t="s">
        <v>579</v>
      </c>
      <c r="V50" s="41">
        <v>1411162670</v>
      </c>
    </row>
    <row r="51" spans="1:22" ht="33.75" x14ac:dyDescent="0.3">
      <c r="A51" s="6">
        <v>146</v>
      </c>
      <c r="B51" s="34" t="s">
        <v>65</v>
      </c>
      <c r="E51" s="43" t="s">
        <v>303</v>
      </c>
      <c r="F51" s="43" t="s">
        <v>453</v>
      </c>
      <c r="G51" s="43"/>
      <c r="H51" s="43" t="s">
        <v>286</v>
      </c>
      <c r="I51" s="43"/>
      <c r="J51" s="43"/>
      <c r="K51" s="43" t="e">
        <f t="shared" si="0"/>
        <v>#N/A</v>
      </c>
      <c r="L51" s="43" t="e">
        <f t="shared" si="1"/>
        <v>#N/A</v>
      </c>
      <c r="M51" s="35"/>
      <c r="N51" s="35"/>
      <c r="O51" s="35" t="s">
        <v>378</v>
      </c>
      <c r="P51" s="35"/>
      <c r="R51" s="38" t="s">
        <v>482</v>
      </c>
      <c r="S51" s="41" t="s">
        <v>332</v>
      </c>
      <c r="T51" s="41" t="s">
        <v>65</v>
      </c>
      <c r="U51" s="41" t="s">
        <v>578</v>
      </c>
      <c r="V51" s="41" t="s">
        <v>564</v>
      </c>
    </row>
    <row r="52" spans="1:22" ht="33.75" x14ac:dyDescent="0.3">
      <c r="A52" s="7">
        <v>147</v>
      </c>
      <c r="B52" s="34" t="s">
        <v>65</v>
      </c>
      <c r="E52" s="43" t="s">
        <v>304</v>
      </c>
      <c r="F52" s="43" t="s">
        <v>454</v>
      </c>
      <c r="G52" s="43"/>
      <c r="H52" s="43" t="s">
        <v>286</v>
      </c>
      <c r="I52" s="43"/>
      <c r="J52" s="43"/>
      <c r="K52" s="43" t="e">
        <f t="shared" si="0"/>
        <v>#N/A</v>
      </c>
      <c r="L52" s="43" t="e">
        <f t="shared" si="1"/>
        <v>#N/A</v>
      </c>
      <c r="M52" s="35"/>
      <c r="N52" s="35"/>
      <c r="O52" s="35" t="s">
        <v>379</v>
      </c>
      <c r="P52" s="35"/>
      <c r="R52" s="38" t="s">
        <v>481</v>
      </c>
      <c r="S52" s="41" t="s">
        <v>331</v>
      </c>
      <c r="T52" s="41" t="s">
        <v>65</v>
      </c>
      <c r="U52" s="41" t="s">
        <v>578</v>
      </c>
      <c r="V52" s="41" t="s">
        <v>563</v>
      </c>
    </row>
    <row r="53" spans="1:22" ht="33.75" x14ac:dyDescent="0.3">
      <c r="A53" s="7">
        <v>148</v>
      </c>
      <c r="B53" s="34" t="s">
        <v>65</v>
      </c>
      <c r="E53" s="43" t="s">
        <v>305</v>
      </c>
      <c r="F53" s="43" t="s">
        <v>455</v>
      </c>
      <c r="G53" s="43"/>
      <c r="H53" s="43" t="s">
        <v>286</v>
      </c>
      <c r="I53" s="43"/>
      <c r="J53" s="43"/>
      <c r="K53" s="43" t="e">
        <f t="shared" si="0"/>
        <v>#N/A</v>
      </c>
      <c r="L53" s="43" t="e">
        <f t="shared" si="1"/>
        <v>#N/A</v>
      </c>
      <c r="M53" s="35"/>
      <c r="N53" s="35"/>
      <c r="O53" s="35" t="s">
        <v>380</v>
      </c>
      <c r="P53" s="35"/>
      <c r="R53" s="38" t="s">
        <v>480</v>
      </c>
      <c r="S53" s="41" t="s">
        <v>330</v>
      </c>
      <c r="T53" s="41" t="s">
        <v>65</v>
      </c>
      <c r="U53" s="41" t="s">
        <v>578</v>
      </c>
      <c r="V53" s="41" t="s">
        <v>562</v>
      </c>
    </row>
    <row r="54" spans="1:22" ht="33.75" x14ac:dyDescent="0.3">
      <c r="A54" s="10">
        <v>149</v>
      </c>
      <c r="B54" s="34" t="s">
        <v>65</v>
      </c>
      <c r="E54" s="43" t="s">
        <v>306</v>
      </c>
      <c r="F54" s="43" t="s">
        <v>456</v>
      </c>
      <c r="G54" s="43"/>
      <c r="H54" s="43" t="s">
        <v>286</v>
      </c>
      <c r="I54" s="43"/>
      <c r="J54" s="43"/>
      <c r="K54" s="43" t="e">
        <f t="shared" si="0"/>
        <v>#N/A</v>
      </c>
      <c r="L54" s="43" t="e">
        <f t="shared" si="1"/>
        <v>#N/A</v>
      </c>
      <c r="M54" s="35"/>
      <c r="N54" s="35"/>
      <c r="O54" s="35" t="s">
        <v>381</v>
      </c>
      <c r="P54" s="35"/>
      <c r="R54" s="38" t="s">
        <v>479</v>
      </c>
      <c r="S54" s="41" t="s">
        <v>329</v>
      </c>
      <c r="T54" s="41" t="s">
        <v>65</v>
      </c>
      <c r="U54" s="41" t="s">
        <v>578</v>
      </c>
      <c r="V54" s="41" t="s">
        <v>561</v>
      </c>
    </row>
    <row r="55" spans="1:22" ht="33.75" x14ac:dyDescent="0.3">
      <c r="A55" s="6">
        <v>150</v>
      </c>
      <c r="B55" s="34" t="s">
        <v>65</v>
      </c>
      <c r="E55" s="43" t="s">
        <v>307</v>
      </c>
      <c r="F55" s="43" t="s">
        <v>457</v>
      </c>
      <c r="G55" s="43"/>
      <c r="H55" s="43" t="s">
        <v>286</v>
      </c>
      <c r="I55" s="43"/>
      <c r="J55" s="43"/>
      <c r="K55" s="43" t="e">
        <f t="shared" si="0"/>
        <v>#N/A</v>
      </c>
      <c r="L55" s="43" t="e">
        <f t="shared" si="1"/>
        <v>#N/A</v>
      </c>
      <c r="M55" s="35"/>
      <c r="N55" s="35"/>
      <c r="O55" s="35" t="s">
        <v>382</v>
      </c>
      <c r="P55" s="35"/>
      <c r="R55" s="38" t="s">
        <v>478</v>
      </c>
      <c r="S55" s="41" t="s">
        <v>328</v>
      </c>
      <c r="T55" s="41" t="s">
        <v>65</v>
      </c>
      <c r="U55" s="41" t="s">
        <v>578</v>
      </c>
      <c r="V55" s="41" t="s">
        <v>560</v>
      </c>
    </row>
    <row r="56" spans="1:22" ht="33.75" x14ac:dyDescent="0.3">
      <c r="A56" s="7">
        <v>151</v>
      </c>
      <c r="B56" s="34" t="s">
        <v>65</v>
      </c>
      <c r="E56" s="46" t="s">
        <v>308</v>
      </c>
      <c r="F56" s="46" t="s">
        <v>458</v>
      </c>
      <c r="G56" s="46"/>
      <c r="H56" s="46" t="s">
        <v>286</v>
      </c>
      <c r="I56" s="46"/>
      <c r="J56" s="46"/>
      <c r="K56" s="46" t="str">
        <f t="shared" si="0"/>
        <v>Đường D8/N1M Trụ 20B/32/20H- NR 191D/47301053542000</v>
      </c>
      <c r="L56" s="46" t="str">
        <f t="shared" si="1"/>
        <v>14210074</v>
      </c>
      <c r="M56" s="46"/>
      <c r="N56" s="46"/>
      <c r="O56" s="46" t="s">
        <v>383</v>
      </c>
      <c r="P56" s="35"/>
      <c r="R56" s="38" t="s">
        <v>503</v>
      </c>
      <c r="S56" s="41" t="s">
        <v>353</v>
      </c>
      <c r="T56" s="41" t="s">
        <v>65</v>
      </c>
      <c r="U56" s="41" t="s">
        <v>583</v>
      </c>
      <c r="V56" s="41" t="s">
        <v>590</v>
      </c>
    </row>
    <row r="57" spans="1:22" ht="33.75" x14ac:dyDescent="0.3">
      <c r="A57" s="7">
        <v>152</v>
      </c>
      <c r="B57" s="34" t="s">
        <v>65</v>
      </c>
      <c r="E57" s="46" t="s">
        <v>309</v>
      </c>
      <c r="F57" s="46" t="s">
        <v>459</v>
      </c>
      <c r="G57" s="46"/>
      <c r="H57" s="46" t="s">
        <v>286</v>
      </c>
      <c r="I57" s="46"/>
      <c r="J57" s="46"/>
      <c r="K57" s="46" t="str">
        <f>VLOOKUP(E57,$S$34:$V$108,3,0)</f>
        <v>Đường D8/N1M Trụ 20B/32/20H- NR 191D/47301053542019</v>
      </c>
      <c r="L57" s="46" t="str">
        <f t="shared" si="1"/>
        <v>11435109</v>
      </c>
      <c r="M57" s="46"/>
      <c r="N57" s="46"/>
      <c r="O57" s="46" t="s">
        <v>384</v>
      </c>
      <c r="P57" s="35"/>
      <c r="R57" s="38" t="s">
        <v>502</v>
      </c>
      <c r="S57" s="41" t="s">
        <v>352</v>
      </c>
      <c r="T57" s="41" t="s">
        <v>65</v>
      </c>
      <c r="U57" s="41" t="s">
        <v>583</v>
      </c>
      <c r="V57" s="41" t="s">
        <v>589</v>
      </c>
    </row>
    <row r="58" spans="1:22" ht="33.75" x14ac:dyDescent="0.3">
      <c r="A58" s="10">
        <v>153</v>
      </c>
      <c r="B58" s="34" t="s">
        <v>65</v>
      </c>
      <c r="E58" s="44" t="s">
        <v>310</v>
      </c>
      <c r="F58" s="44" t="s">
        <v>460</v>
      </c>
      <c r="G58" s="44"/>
      <c r="H58" s="44" t="s">
        <v>286</v>
      </c>
      <c r="I58" s="44"/>
      <c r="J58" s="44"/>
      <c r="K58" s="44" t="str">
        <f t="shared" si="0"/>
        <v>Đường D8/N1M Trụ 20B/32/19H- NR 191D/47301053542019</v>
      </c>
      <c r="L58" s="44" t="str">
        <f t="shared" si="1"/>
        <v>11435136</v>
      </c>
      <c r="M58" s="44"/>
      <c r="N58" s="44"/>
      <c r="O58" s="44" t="s">
        <v>385</v>
      </c>
      <c r="P58" s="35"/>
      <c r="R58" s="38" t="s">
        <v>501</v>
      </c>
      <c r="S58" s="41" t="s">
        <v>351</v>
      </c>
      <c r="T58" s="41" t="s">
        <v>65</v>
      </c>
      <c r="U58" s="41" t="s">
        <v>583</v>
      </c>
      <c r="V58" s="41" t="s">
        <v>588</v>
      </c>
    </row>
    <row r="59" spans="1:22" ht="33.75" x14ac:dyDescent="0.3">
      <c r="A59" s="6">
        <v>154</v>
      </c>
      <c r="B59" s="34" t="s">
        <v>65</v>
      </c>
      <c r="E59" s="43" t="s">
        <v>311</v>
      </c>
      <c r="F59" s="43" t="s">
        <v>461</v>
      </c>
      <c r="G59" s="43"/>
      <c r="H59" s="43" t="s">
        <v>286</v>
      </c>
      <c r="I59" s="43"/>
      <c r="J59" s="43"/>
      <c r="K59" s="43" t="e">
        <f t="shared" si="0"/>
        <v>#N/A</v>
      </c>
      <c r="L59" s="43" t="e">
        <f t="shared" si="1"/>
        <v>#N/A</v>
      </c>
      <c r="M59" s="35"/>
      <c r="N59" s="35"/>
      <c r="O59" s="35" t="s">
        <v>386</v>
      </c>
      <c r="P59" s="35"/>
      <c r="R59" s="38" t="s">
        <v>500</v>
      </c>
      <c r="S59" s="41" t="s">
        <v>350</v>
      </c>
      <c r="T59" s="41" t="s">
        <v>65</v>
      </c>
      <c r="U59" s="41" t="s">
        <v>578</v>
      </c>
      <c r="V59" s="41" t="s">
        <v>587</v>
      </c>
    </row>
    <row r="60" spans="1:22" ht="33.75" x14ac:dyDescent="0.3">
      <c r="A60" s="7">
        <v>155</v>
      </c>
      <c r="B60" s="34" t="s">
        <v>65</v>
      </c>
      <c r="E60" s="43" t="s">
        <v>312</v>
      </c>
      <c r="F60" s="43" t="s">
        <v>462</v>
      </c>
      <c r="G60" s="43"/>
      <c r="H60" s="43" t="s">
        <v>286</v>
      </c>
      <c r="I60" s="43"/>
      <c r="J60" s="43"/>
      <c r="K60" s="43" t="e">
        <f t="shared" si="0"/>
        <v>#N/A</v>
      </c>
      <c r="L60" s="43" t="e">
        <f t="shared" si="1"/>
        <v>#N/A</v>
      </c>
      <c r="M60" s="35"/>
      <c r="N60" s="35"/>
      <c r="O60" s="35" t="s">
        <v>387</v>
      </c>
      <c r="P60" s="35"/>
      <c r="R60" s="38" t="s">
        <v>496</v>
      </c>
      <c r="S60" s="41" t="s">
        <v>346</v>
      </c>
      <c r="T60" s="41" t="s">
        <v>65</v>
      </c>
      <c r="U60" s="41" t="s">
        <v>583</v>
      </c>
      <c r="V60" s="41" t="s">
        <v>733</v>
      </c>
    </row>
    <row r="61" spans="1:22" ht="33.75" x14ac:dyDescent="0.3">
      <c r="A61" s="7">
        <v>156</v>
      </c>
      <c r="B61" s="34" t="s">
        <v>65</v>
      </c>
      <c r="E61" s="43" t="s">
        <v>313</v>
      </c>
      <c r="F61" s="43" t="s">
        <v>463</v>
      </c>
      <c r="G61" s="43"/>
      <c r="H61" s="43" t="s">
        <v>286</v>
      </c>
      <c r="I61" s="43"/>
      <c r="J61" s="43"/>
      <c r="K61" s="43" t="e">
        <f t="shared" si="0"/>
        <v>#N/A</v>
      </c>
      <c r="L61" s="43" t="e">
        <f t="shared" si="1"/>
        <v>#N/A</v>
      </c>
      <c r="M61" s="35"/>
      <c r="N61" s="35"/>
      <c r="O61" s="35" t="s">
        <v>388</v>
      </c>
      <c r="P61" s="35"/>
      <c r="R61" s="38" t="s">
        <v>498</v>
      </c>
      <c r="S61" s="41" t="s">
        <v>348</v>
      </c>
      <c r="T61" s="41" t="s">
        <v>65</v>
      </c>
      <c r="U61" s="41" t="s">
        <v>578</v>
      </c>
      <c r="V61" s="41" t="s">
        <v>585</v>
      </c>
    </row>
    <row r="62" spans="1:22" ht="33.75" x14ac:dyDescent="0.3">
      <c r="A62" s="10">
        <v>157</v>
      </c>
      <c r="B62" s="34" t="s">
        <v>65</v>
      </c>
      <c r="E62" s="43" t="s">
        <v>314</v>
      </c>
      <c r="F62" s="43" t="s">
        <v>464</v>
      </c>
      <c r="G62" s="43"/>
      <c r="H62" s="43" t="s">
        <v>286</v>
      </c>
      <c r="I62" s="43"/>
      <c r="J62" s="43"/>
      <c r="K62" s="43" t="e">
        <f t="shared" si="0"/>
        <v>#N/A</v>
      </c>
      <c r="L62" s="43" t="e">
        <f t="shared" si="1"/>
        <v>#N/A</v>
      </c>
      <c r="M62" s="35"/>
      <c r="N62" s="35"/>
      <c r="O62" s="35" t="s">
        <v>389</v>
      </c>
      <c r="P62" s="35"/>
      <c r="R62" s="38" t="s">
        <v>477</v>
      </c>
      <c r="S62" s="41" t="s">
        <v>327</v>
      </c>
      <c r="T62" s="41" t="s">
        <v>65</v>
      </c>
      <c r="U62" s="41" t="s">
        <v>577</v>
      </c>
      <c r="V62" s="41" t="s">
        <v>559</v>
      </c>
    </row>
    <row r="63" spans="1:22" ht="33.75" x14ac:dyDescent="0.3">
      <c r="A63" s="6">
        <v>158</v>
      </c>
      <c r="B63" s="34" t="s">
        <v>65</v>
      </c>
      <c r="E63" s="43" t="s">
        <v>315</v>
      </c>
      <c r="F63" s="43" t="s">
        <v>465</v>
      </c>
      <c r="G63" s="43"/>
      <c r="H63" s="43" t="s">
        <v>286</v>
      </c>
      <c r="I63" s="43"/>
      <c r="J63" s="43"/>
      <c r="K63" s="43" t="e">
        <f t="shared" si="0"/>
        <v>#N/A</v>
      </c>
      <c r="L63" s="43" t="e">
        <f t="shared" si="1"/>
        <v>#N/A</v>
      </c>
      <c r="M63" s="35"/>
      <c r="N63" s="35"/>
      <c r="O63" s="35" t="s">
        <v>390</v>
      </c>
      <c r="P63" s="35"/>
      <c r="R63" s="38" t="s">
        <v>476</v>
      </c>
      <c r="S63" s="41" t="s">
        <v>326</v>
      </c>
      <c r="T63" s="41" t="s">
        <v>65</v>
      </c>
      <c r="U63" s="41" t="s">
        <v>577</v>
      </c>
      <c r="V63" s="41" t="s">
        <v>558</v>
      </c>
    </row>
    <row r="64" spans="1:22" ht="33.75" x14ac:dyDescent="0.3">
      <c r="A64" s="7">
        <v>159</v>
      </c>
      <c r="B64" s="34" t="s">
        <v>65</v>
      </c>
      <c r="E64" s="43" t="s">
        <v>316</v>
      </c>
      <c r="F64" s="43" t="s">
        <v>466</v>
      </c>
      <c r="G64" s="43"/>
      <c r="H64" s="43" t="s">
        <v>286</v>
      </c>
      <c r="I64" s="43"/>
      <c r="J64" s="43"/>
      <c r="K64" s="43" t="e">
        <f t="shared" si="0"/>
        <v>#N/A</v>
      </c>
      <c r="L64" s="43" t="e">
        <f t="shared" si="1"/>
        <v>#N/A</v>
      </c>
      <c r="M64" s="35"/>
      <c r="N64" s="35"/>
      <c r="O64" s="35" t="s">
        <v>391</v>
      </c>
      <c r="P64" s="35"/>
      <c r="R64" s="38" t="s">
        <v>475</v>
      </c>
      <c r="S64" s="41" t="s">
        <v>325</v>
      </c>
      <c r="T64" s="41" t="s">
        <v>65</v>
      </c>
      <c r="U64" s="41" t="s">
        <v>577</v>
      </c>
      <c r="V64" s="41" t="s">
        <v>557</v>
      </c>
    </row>
    <row r="65" spans="1:22" ht="33.75" x14ac:dyDescent="0.3">
      <c r="A65" s="7">
        <v>160</v>
      </c>
      <c r="B65" s="34" t="s">
        <v>65</v>
      </c>
      <c r="E65" s="43" t="s">
        <v>317</v>
      </c>
      <c r="F65" s="43" t="s">
        <v>467</v>
      </c>
      <c r="G65" s="43"/>
      <c r="H65" s="43" t="s">
        <v>286</v>
      </c>
      <c r="I65" s="43"/>
      <c r="J65" s="43"/>
      <c r="K65" s="43" t="e">
        <f t="shared" si="0"/>
        <v>#N/A</v>
      </c>
      <c r="L65" s="43" t="e">
        <f t="shared" si="1"/>
        <v>#N/A</v>
      </c>
      <c r="M65" s="35"/>
      <c r="N65" s="35"/>
      <c r="O65" s="35" t="s">
        <v>392</v>
      </c>
      <c r="P65" s="35"/>
      <c r="R65" s="38" t="s">
        <v>474</v>
      </c>
      <c r="S65" s="41" t="s">
        <v>324</v>
      </c>
      <c r="T65" s="41" t="s">
        <v>65</v>
      </c>
      <c r="U65" s="41" t="s">
        <v>577</v>
      </c>
      <c r="V65" s="41" t="s">
        <v>556</v>
      </c>
    </row>
    <row r="66" spans="1:22" ht="33.75" x14ac:dyDescent="0.3">
      <c r="A66" s="10">
        <v>161</v>
      </c>
      <c r="B66" s="34" t="s">
        <v>65</v>
      </c>
      <c r="E66" s="43" t="s">
        <v>318</v>
      </c>
      <c r="F66" s="43" t="s">
        <v>468</v>
      </c>
      <c r="G66" s="43"/>
      <c r="H66" s="43" t="s">
        <v>286</v>
      </c>
      <c r="I66" s="43"/>
      <c r="J66" s="43"/>
      <c r="K66" s="43" t="e">
        <f t="shared" si="0"/>
        <v>#N/A</v>
      </c>
      <c r="L66" s="43" t="e">
        <f t="shared" si="1"/>
        <v>#N/A</v>
      </c>
      <c r="M66" s="35"/>
      <c r="N66" s="35"/>
      <c r="O66" s="35" t="s">
        <v>393</v>
      </c>
      <c r="P66" s="35"/>
      <c r="R66" s="38" t="s">
        <v>473</v>
      </c>
      <c r="S66" s="41" t="s">
        <v>323</v>
      </c>
      <c r="T66" s="41" t="s">
        <v>65</v>
      </c>
      <c r="U66" s="41" t="s">
        <v>577</v>
      </c>
      <c r="V66" s="41" t="s">
        <v>555</v>
      </c>
    </row>
    <row r="67" spans="1:22" ht="33.75" x14ac:dyDescent="0.3">
      <c r="A67" s="6">
        <v>162</v>
      </c>
      <c r="B67" s="34" t="s">
        <v>65</v>
      </c>
      <c r="E67" s="43" t="s">
        <v>319</v>
      </c>
      <c r="F67" s="43" t="s">
        <v>469</v>
      </c>
      <c r="G67" s="43"/>
      <c r="H67" s="43" t="s">
        <v>286</v>
      </c>
      <c r="I67" s="43"/>
      <c r="J67" s="43"/>
      <c r="K67" s="43" t="e">
        <f t="shared" si="0"/>
        <v>#N/A</v>
      </c>
      <c r="L67" s="43" t="e">
        <f t="shared" si="1"/>
        <v>#N/A</v>
      </c>
      <c r="M67" s="35"/>
      <c r="N67" s="35"/>
      <c r="O67" s="35" t="s">
        <v>394</v>
      </c>
      <c r="P67" s="35"/>
      <c r="R67" s="38" t="s">
        <v>472</v>
      </c>
      <c r="S67" s="41" t="s">
        <v>322</v>
      </c>
      <c r="T67" s="41" t="s">
        <v>65</v>
      </c>
      <c r="U67" s="41" t="s">
        <v>577</v>
      </c>
      <c r="V67" s="41" t="s">
        <v>554</v>
      </c>
    </row>
    <row r="68" spans="1:22" ht="33.75" x14ac:dyDescent="0.3">
      <c r="A68" s="7">
        <v>163</v>
      </c>
      <c r="B68" s="34" t="s">
        <v>65</v>
      </c>
      <c r="E68" s="43" t="s">
        <v>320</v>
      </c>
      <c r="F68" s="43" t="s">
        <v>470</v>
      </c>
      <c r="G68" s="43"/>
      <c r="H68" s="43" t="s">
        <v>286</v>
      </c>
      <c r="I68" s="43"/>
      <c r="J68" s="43"/>
      <c r="K68" s="43" t="e">
        <f t="shared" si="0"/>
        <v>#N/A</v>
      </c>
      <c r="L68" s="43" t="e">
        <f t="shared" si="1"/>
        <v>#N/A</v>
      </c>
      <c r="M68" s="35"/>
      <c r="N68" s="35"/>
      <c r="O68" s="35" t="s">
        <v>395</v>
      </c>
      <c r="P68" s="35"/>
      <c r="R68" s="38" t="s">
        <v>497</v>
      </c>
      <c r="S68" s="41" t="s">
        <v>347</v>
      </c>
      <c r="T68" s="41" t="s">
        <v>65</v>
      </c>
      <c r="U68" s="41" t="s">
        <v>583</v>
      </c>
      <c r="V68" s="41" t="s">
        <v>584</v>
      </c>
    </row>
    <row r="69" spans="1:22" ht="33.75" x14ac:dyDescent="0.3">
      <c r="A69" s="7">
        <v>164</v>
      </c>
      <c r="B69" s="34" t="s">
        <v>65</v>
      </c>
      <c r="E69" s="43" t="s">
        <v>321</v>
      </c>
      <c r="F69" s="43" t="s">
        <v>471</v>
      </c>
      <c r="G69" s="43"/>
      <c r="H69" s="43" t="s">
        <v>286</v>
      </c>
      <c r="I69" s="43"/>
      <c r="J69" s="43"/>
      <c r="K69" s="43" t="e">
        <f t="shared" si="0"/>
        <v>#N/A</v>
      </c>
      <c r="L69" s="43" t="e">
        <f t="shared" si="1"/>
        <v>#N/A</v>
      </c>
      <c r="M69" s="35"/>
      <c r="N69" s="35"/>
      <c r="O69" s="35" t="s">
        <v>396</v>
      </c>
      <c r="P69" s="35"/>
      <c r="R69" s="38" t="s">
        <v>499</v>
      </c>
      <c r="S69" s="41" t="s">
        <v>349</v>
      </c>
      <c r="T69" s="41" t="s">
        <v>65</v>
      </c>
      <c r="U69" s="41" t="s">
        <v>578</v>
      </c>
      <c r="V69" s="41" t="s">
        <v>586</v>
      </c>
    </row>
    <row r="70" spans="1:22" ht="33.75" x14ac:dyDescent="0.3">
      <c r="A70" s="10">
        <v>165</v>
      </c>
      <c r="B70" s="34" t="s">
        <v>65</v>
      </c>
      <c r="E70" s="47" t="s">
        <v>322</v>
      </c>
      <c r="F70" s="47" t="s">
        <v>472</v>
      </c>
      <c r="G70" s="47"/>
      <c r="H70" s="47" t="s">
        <v>286</v>
      </c>
      <c r="I70" s="47"/>
      <c r="J70" s="47"/>
      <c r="K70" s="47" t="str">
        <f t="shared" si="0"/>
        <v>Đường D8/N1M Trụ 20B/32/17H- NR 191D/47301053542019</v>
      </c>
      <c r="L70" s="47" t="str">
        <f t="shared" si="1"/>
        <v>11584500</v>
      </c>
      <c r="M70" s="47"/>
      <c r="N70" s="47"/>
      <c r="O70" s="47" t="s">
        <v>397</v>
      </c>
      <c r="P70" s="35"/>
      <c r="R70" s="38" t="s">
        <v>495</v>
      </c>
      <c r="S70" s="41" t="s">
        <v>345</v>
      </c>
      <c r="T70" s="41" t="s">
        <v>65</v>
      </c>
      <c r="U70" s="41" t="s">
        <v>582</v>
      </c>
      <c r="V70" s="41" t="s">
        <v>576</v>
      </c>
    </row>
    <row r="71" spans="1:22" ht="33.75" x14ac:dyDescent="0.3">
      <c r="A71" s="6">
        <v>166</v>
      </c>
      <c r="B71" s="34" t="s">
        <v>65</v>
      </c>
      <c r="E71" s="47" t="s">
        <v>323</v>
      </c>
      <c r="F71" s="47" t="s">
        <v>473</v>
      </c>
      <c r="G71" s="47"/>
      <c r="H71" s="47" t="s">
        <v>286</v>
      </c>
      <c r="I71" s="47"/>
      <c r="J71" s="47"/>
      <c r="K71" s="47" t="str">
        <f t="shared" si="0"/>
        <v>Đường D8/N1M Trụ 20B/32/17H- NR 191D/47301053542019</v>
      </c>
      <c r="L71" s="47" t="str">
        <f t="shared" si="1"/>
        <v>11582797</v>
      </c>
      <c r="M71" s="47"/>
      <c r="N71" s="47"/>
      <c r="O71" s="47" t="s">
        <v>398</v>
      </c>
      <c r="P71" s="35"/>
      <c r="R71" s="38" t="s">
        <v>494</v>
      </c>
      <c r="S71" s="41" t="s">
        <v>344</v>
      </c>
      <c r="T71" s="41" t="s">
        <v>65</v>
      </c>
      <c r="U71" s="41" t="s">
        <v>577</v>
      </c>
      <c r="V71" s="41" t="s">
        <v>575</v>
      </c>
    </row>
    <row r="72" spans="1:22" ht="33.75" x14ac:dyDescent="0.3">
      <c r="A72" s="7">
        <v>167</v>
      </c>
      <c r="B72" s="34" t="s">
        <v>65</v>
      </c>
      <c r="E72" s="47" t="s">
        <v>324</v>
      </c>
      <c r="F72" s="47" t="s">
        <v>474</v>
      </c>
      <c r="G72" s="47"/>
      <c r="H72" s="47" t="s">
        <v>286</v>
      </c>
      <c r="I72" s="47"/>
      <c r="J72" s="47"/>
      <c r="K72" s="47" t="str">
        <f t="shared" si="0"/>
        <v>Đường D8/N1M Trụ 20B/32/17H- NR 191D/47301053542019</v>
      </c>
      <c r="L72" s="47" t="str">
        <f t="shared" si="1"/>
        <v>11435019</v>
      </c>
      <c r="M72" s="47"/>
      <c r="N72" s="47"/>
      <c r="O72" s="47" t="s">
        <v>399</v>
      </c>
      <c r="P72" s="35"/>
      <c r="R72" s="38" t="s">
        <v>493</v>
      </c>
      <c r="S72" s="41" t="s">
        <v>343</v>
      </c>
      <c r="T72" s="41" t="s">
        <v>65</v>
      </c>
      <c r="U72" s="41" t="s">
        <v>577</v>
      </c>
      <c r="V72" s="41" t="s">
        <v>574</v>
      </c>
    </row>
    <row r="73" spans="1:22" ht="33.75" x14ac:dyDescent="0.3">
      <c r="A73" s="7">
        <v>168</v>
      </c>
      <c r="B73" s="34" t="s">
        <v>65</v>
      </c>
      <c r="E73" s="47" t="s">
        <v>325</v>
      </c>
      <c r="F73" s="47" t="s">
        <v>475</v>
      </c>
      <c r="G73" s="47"/>
      <c r="H73" s="47" t="s">
        <v>286</v>
      </c>
      <c r="I73" s="47"/>
      <c r="J73" s="47"/>
      <c r="K73" s="47" t="str">
        <f t="shared" si="0"/>
        <v>Đường D8/N1M Trụ 20B/32/17H- NR 191D/47301053542019</v>
      </c>
      <c r="L73" s="47" t="str">
        <f t="shared" si="1"/>
        <v>11436310</v>
      </c>
      <c r="M73" s="47"/>
      <c r="N73" s="47"/>
      <c r="O73" s="47" t="s">
        <v>400</v>
      </c>
      <c r="P73" s="35"/>
      <c r="R73" s="38" t="s">
        <v>492</v>
      </c>
      <c r="S73" s="41" t="s">
        <v>342</v>
      </c>
      <c r="T73" s="41" t="s">
        <v>65</v>
      </c>
      <c r="U73" s="41" t="s">
        <v>577</v>
      </c>
      <c r="V73" s="41" t="s">
        <v>573</v>
      </c>
    </row>
    <row r="74" spans="1:22" ht="33.75" x14ac:dyDescent="0.3">
      <c r="A74" s="10">
        <v>169</v>
      </c>
      <c r="B74" s="34" t="s">
        <v>65</v>
      </c>
      <c r="E74" s="47" t="s">
        <v>326</v>
      </c>
      <c r="F74" s="47" t="s">
        <v>476</v>
      </c>
      <c r="G74" s="47"/>
      <c r="H74" s="47" t="s">
        <v>286</v>
      </c>
      <c r="I74" s="47"/>
      <c r="J74" s="47"/>
      <c r="K74" s="47" t="str">
        <f t="shared" si="0"/>
        <v>Đường D8/N1M Trụ 20B/32/17H- NR 191D/47301053542019</v>
      </c>
      <c r="L74" s="47" t="str">
        <f t="shared" si="1"/>
        <v>11583302</v>
      </c>
      <c r="M74" s="47"/>
      <c r="N74" s="47"/>
      <c r="O74" s="47" t="s">
        <v>401</v>
      </c>
      <c r="P74" s="35"/>
      <c r="R74" s="48">
        <v>1</v>
      </c>
      <c r="S74" s="41" t="s">
        <v>604</v>
      </c>
      <c r="T74" s="41" t="s">
        <v>65</v>
      </c>
      <c r="U74" s="41" t="s">
        <v>540</v>
      </c>
      <c r="V74" s="41" t="s">
        <v>598</v>
      </c>
    </row>
    <row r="75" spans="1:22" ht="33.75" x14ac:dyDescent="0.3">
      <c r="A75" s="6">
        <v>170</v>
      </c>
      <c r="B75" s="34" t="s">
        <v>65</v>
      </c>
      <c r="E75" s="47" t="s">
        <v>327</v>
      </c>
      <c r="F75" s="47" t="s">
        <v>477</v>
      </c>
      <c r="G75" s="47"/>
      <c r="H75" s="47" t="s">
        <v>286</v>
      </c>
      <c r="I75" s="47"/>
      <c r="J75" s="47"/>
      <c r="K75" s="47" t="str">
        <f t="shared" si="0"/>
        <v>Đường D8/N1M Trụ 20B/32/17H- NR 191D/47301053542019</v>
      </c>
      <c r="L75" s="47" t="str">
        <f t="shared" si="1"/>
        <v>11435110</v>
      </c>
      <c r="M75" s="47"/>
      <c r="N75" s="47"/>
      <c r="O75" s="47" t="s">
        <v>402</v>
      </c>
      <c r="P75" s="35"/>
      <c r="R75" s="48">
        <v>2</v>
      </c>
      <c r="S75" s="41" t="s">
        <v>605</v>
      </c>
      <c r="T75" s="41" t="s">
        <v>65</v>
      </c>
      <c r="U75" s="41" t="s">
        <v>540</v>
      </c>
      <c r="V75" s="41" t="s">
        <v>599</v>
      </c>
    </row>
    <row r="76" spans="1:22" ht="33.75" x14ac:dyDescent="0.3">
      <c r="A76" s="7">
        <v>171</v>
      </c>
      <c r="B76" s="34" t="s">
        <v>65</v>
      </c>
      <c r="E76" s="49" t="s">
        <v>328</v>
      </c>
      <c r="F76" s="49" t="s">
        <v>478</v>
      </c>
      <c r="G76" s="49"/>
      <c r="H76" s="49" t="s">
        <v>286</v>
      </c>
      <c r="I76" s="49"/>
      <c r="J76" s="49"/>
      <c r="K76" s="49" t="str">
        <f t="shared" si="0"/>
        <v>Đường D8/N1M Trụ 20B/32/16H- NR 191D/47301053542000</v>
      </c>
      <c r="L76" s="49" t="str">
        <f t="shared" si="1"/>
        <v>1411057576</v>
      </c>
      <c r="M76" s="49"/>
      <c r="N76" s="49"/>
      <c r="O76" s="49" t="s">
        <v>403</v>
      </c>
      <c r="P76" s="35"/>
      <c r="R76" s="48">
        <v>3</v>
      </c>
      <c r="S76" s="41" t="s">
        <v>606</v>
      </c>
      <c r="T76" s="41" t="s">
        <v>65</v>
      </c>
      <c r="U76" s="41" t="s">
        <v>540</v>
      </c>
      <c r="V76" s="41" t="s">
        <v>600</v>
      </c>
    </row>
    <row r="77" spans="1:22" ht="33.75" x14ac:dyDescent="0.3">
      <c r="A77" s="7">
        <v>172</v>
      </c>
      <c r="B77" s="34" t="s">
        <v>65</v>
      </c>
      <c r="E77" s="49" t="s">
        <v>329</v>
      </c>
      <c r="F77" s="49" t="s">
        <v>479</v>
      </c>
      <c r="G77" s="49"/>
      <c r="H77" s="49" t="s">
        <v>286</v>
      </c>
      <c r="I77" s="49"/>
      <c r="J77" s="49"/>
      <c r="K77" s="49" t="str">
        <f t="shared" si="0"/>
        <v>Đường D8/N1M Trụ 20B/32/16H- NR 191D/47301053542000</v>
      </c>
      <c r="L77" s="49" t="str">
        <f t="shared" si="1"/>
        <v>1411163055</v>
      </c>
      <c r="M77" s="49"/>
      <c r="N77" s="49"/>
      <c r="O77" s="49" t="s">
        <v>404</v>
      </c>
      <c r="P77" s="35"/>
      <c r="R77" s="48">
        <v>4</v>
      </c>
      <c r="S77" s="41" t="s">
        <v>607</v>
      </c>
      <c r="T77" s="41" t="s">
        <v>65</v>
      </c>
      <c r="U77" s="41" t="s">
        <v>540</v>
      </c>
      <c r="V77" s="41" t="s">
        <v>601</v>
      </c>
    </row>
    <row r="78" spans="1:22" ht="33.75" x14ac:dyDescent="0.3">
      <c r="A78" s="10">
        <v>173</v>
      </c>
      <c r="B78" s="34" t="s">
        <v>65</v>
      </c>
      <c r="E78" s="49" t="s">
        <v>330</v>
      </c>
      <c r="F78" s="49" t="s">
        <v>480</v>
      </c>
      <c r="G78" s="49"/>
      <c r="H78" s="49" t="s">
        <v>286</v>
      </c>
      <c r="I78" s="49"/>
      <c r="J78" s="49"/>
      <c r="K78" s="49" t="str">
        <f t="shared" si="0"/>
        <v>Đường D8/N1M Trụ 20B/32/16H- NR 191D/47301053542000</v>
      </c>
      <c r="L78" s="49" t="str">
        <f t="shared" si="1"/>
        <v>1411222703</v>
      </c>
      <c r="M78" s="49"/>
      <c r="N78" s="49"/>
      <c r="O78" s="49" t="s">
        <v>405</v>
      </c>
      <c r="P78" s="35"/>
      <c r="R78" s="48">
        <v>5</v>
      </c>
      <c r="S78" s="41" t="s">
        <v>608</v>
      </c>
      <c r="T78" s="41" t="s">
        <v>65</v>
      </c>
      <c r="U78" s="41" t="s">
        <v>540</v>
      </c>
      <c r="V78" s="41" t="s">
        <v>602</v>
      </c>
    </row>
    <row r="79" spans="1:22" ht="33.75" x14ac:dyDescent="0.3">
      <c r="A79" s="6">
        <v>174</v>
      </c>
      <c r="B79" s="34" t="s">
        <v>65</v>
      </c>
      <c r="E79" s="49" t="s">
        <v>331</v>
      </c>
      <c r="F79" s="49" t="s">
        <v>481</v>
      </c>
      <c r="G79" s="49"/>
      <c r="H79" s="49" t="s">
        <v>286</v>
      </c>
      <c r="I79" s="49"/>
      <c r="J79" s="49"/>
      <c r="K79" s="49" t="str">
        <f t="shared" si="0"/>
        <v>Đường D8/N1M Trụ 20B/32/16H- NR 191D/47301053542000</v>
      </c>
      <c r="L79" s="49" t="str">
        <f t="shared" si="1"/>
        <v>1411223000</v>
      </c>
      <c r="M79" s="49"/>
      <c r="N79" s="49"/>
      <c r="O79" s="49" t="s">
        <v>406</v>
      </c>
      <c r="P79" s="35"/>
      <c r="R79" s="48">
        <v>6</v>
      </c>
      <c r="S79" s="41" t="s">
        <v>609</v>
      </c>
      <c r="T79" s="41" t="s">
        <v>65</v>
      </c>
      <c r="U79" s="41" t="s">
        <v>540</v>
      </c>
      <c r="V79" s="41" t="s">
        <v>603</v>
      </c>
    </row>
    <row r="80" spans="1:22" ht="33.75" x14ac:dyDescent="0.3">
      <c r="A80" s="7">
        <v>175</v>
      </c>
      <c r="B80" s="34" t="s">
        <v>65</v>
      </c>
      <c r="E80" s="49" t="s">
        <v>332</v>
      </c>
      <c r="F80" s="49" t="s">
        <v>482</v>
      </c>
      <c r="G80" s="49"/>
      <c r="H80" s="49" t="s">
        <v>286</v>
      </c>
      <c r="I80" s="49"/>
      <c r="J80" s="49"/>
      <c r="K80" s="49" t="str">
        <f t="shared" si="0"/>
        <v>Đường D8/N1M Trụ 20B/32/16H- NR 191D/47301053542000</v>
      </c>
      <c r="L80" s="49" t="str">
        <f t="shared" si="1"/>
        <v>0131194040</v>
      </c>
      <c r="M80" s="49"/>
      <c r="N80" s="49"/>
      <c r="O80" s="49" t="s">
        <v>407</v>
      </c>
      <c r="P80" s="35"/>
      <c r="R80" s="38" t="s">
        <v>436</v>
      </c>
      <c r="S80" s="41" t="s">
        <v>286</v>
      </c>
      <c r="T80" s="41" t="s">
        <v>65</v>
      </c>
      <c r="U80" s="41" t="s">
        <v>540</v>
      </c>
      <c r="V80" s="41" t="s">
        <v>536</v>
      </c>
    </row>
    <row r="81" spans="1:22" ht="33.75" x14ac:dyDescent="0.3">
      <c r="A81" s="7">
        <v>176</v>
      </c>
      <c r="B81" s="34" t="s">
        <v>65</v>
      </c>
      <c r="E81" s="50" t="s">
        <v>333</v>
      </c>
      <c r="F81" s="50" t="s">
        <v>483</v>
      </c>
      <c r="G81" s="50"/>
      <c r="H81" s="50" t="s">
        <v>286</v>
      </c>
      <c r="I81" s="50"/>
      <c r="J81" s="50"/>
      <c r="K81" s="50" t="str">
        <f t="shared" si="0"/>
        <v>28/06/202101053542000141116267016/09/2024110</v>
      </c>
      <c r="L81" s="50">
        <f t="shared" si="1"/>
        <v>1411162670</v>
      </c>
      <c r="M81" s="50"/>
      <c r="N81" s="50"/>
      <c r="O81" s="50" t="s">
        <v>408</v>
      </c>
      <c r="P81" s="35"/>
      <c r="R81" s="38" t="s">
        <v>437</v>
      </c>
      <c r="S81" s="41" t="s">
        <v>287</v>
      </c>
      <c r="T81" s="41" t="s">
        <v>65</v>
      </c>
      <c r="U81" s="41" t="s">
        <v>540</v>
      </c>
      <c r="V81" s="41" t="s">
        <v>537</v>
      </c>
    </row>
    <row r="82" spans="1:22" ht="33.75" x14ac:dyDescent="0.3">
      <c r="A82" s="10">
        <v>177</v>
      </c>
      <c r="B82" s="34" t="s">
        <v>65</v>
      </c>
      <c r="E82" s="51" t="s">
        <v>334</v>
      </c>
      <c r="F82" s="51" t="s">
        <v>484</v>
      </c>
      <c r="G82" s="51"/>
      <c r="H82" s="51" t="s">
        <v>286</v>
      </c>
      <c r="I82" s="51"/>
      <c r="J82" s="51"/>
      <c r="K82" s="51" t="str">
        <f t="shared" si="0"/>
        <v>Đường D8/N1M Trụ 20B/32/15H- NR 191D/47301053542000</v>
      </c>
      <c r="L82" s="51" t="str">
        <f t="shared" si="1"/>
        <v>1411223067</v>
      </c>
      <c r="M82" s="51"/>
      <c r="N82" s="51"/>
      <c r="O82" s="51" t="s">
        <v>409</v>
      </c>
      <c r="P82" s="35"/>
      <c r="R82" s="38" t="s">
        <v>438</v>
      </c>
      <c r="S82" s="41" t="s">
        <v>288</v>
      </c>
      <c r="T82" s="41" t="s">
        <v>65</v>
      </c>
      <c r="U82" s="41" t="s">
        <v>540</v>
      </c>
      <c r="V82" s="41" t="s">
        <v>538</v>
      </c>
    </row>
    <row r="83" spans="1:22" ht="33.75" x14ac:dyDescent="0.3">
      <c r="A83" s="6">
        <v>178</v>
      </c>
      <c r="B83" s="34" t="s">
        <v>65</v>
      </c>
      <c r="E83" s="51" t="s">
        <v>335</v>
      </c>
      <c r="F83" s="51" t="s">
        <v>485</v>
      </c>
      <c r="G83" s="51"/>
      <c r="H83" s="51" t="s">
        <v>286</v>
      </c>
      <c r="I83" s="51"/>
      <c r="J83" s="51"/>
      <c r="K83" s="51" t="str">
        <f t="shared" si="0"/>
        <v>Đường D8/N1M Trụ 20B/32/15H- NR 191D/47301053542000</v>
      </c>
      <c r="L83" s="51" t="str">
        <f t="shared" si="1"/>
        <v>1411059337</v>
      </c>
      <c r="M83" s="51"/>
      <c r="N83" s="51"/>
      <c r="O83" s="51" t="s">
        <v>410</v>
      </c>
      <c r="P83" s="35"/>
      <c r="R83" s="38" t="s">
        <v>439</v>
      </c>
      <c r="S83" s="41" t="s">
        <v>289</v>
      </c>
      <c r="T83" s="41" t="s">
        <v>65</v>
      </c>
      <c r="U83" s="41" t="s">
        <v>540</v>
      </c>
      <c r="V83" s="41" t="s">
        <v>539</v>
      </c>
    </row>
    <row r="84" spans="1:22" ht="33.75" x14ac:dyDescent="0.3">
      <c r="A84" s="7">
        <v>179</v>
      </c>
      <c r="B84" s="34" t="s">
        <v>65</v>
      </c>
      <c r="E84" s="45" t="s">
        <v>336</v>
      </c>
      <c r="F84" s="45" t="s">
        <v>486</v>
      </c>
      <c r="G84" s="45"/>
      <c r="H84" s="45" t="s">
        <v>286</v>
      </c>
      <c r="I84" s="45"/>
      <c r="J84" s="45"/>
      <c r="K84" s="45" t="str">
        <f t="shared" si="0"/>
        <v>Đường D8/N1M Trụ 20B/32/4H- NR 191D/47301053542000</v>
      </c>
      <c r="L84" s="45" t="str">
        <f t="shared" si="1"/>
        <v>1411021460</v>
      </c>
      <c r="M84" s="45"/>
      <c r="N84" s="45"/>
      <c r="O84" s="45" t="s">
        <v>411</v>
      </c>
      <c r="P84" s="35"/>
      <c r="R84" s="48">
        <v>7</v>
      </c>
      <c r="S84" s="41" t="s">
        <v>610</v>
      </c>
      <c r="T84" s="41" t="s">
        <v>65</v>
      </c>
      <c r="U84" s="41" t="s">
        <v>540</v>
      </c>
      <c r="V84" s="41" t="s">
        <v>611</v>
      </c>
    </row>
    <row r="85" spans="1:22" ht="33.75" x14ac:dyDescent="0.3">
      <c r="A85" s="7">
        <v>180</v>
      </c>
      <c r="B85" s="34" t="s">
        <v>65</v>
      </c>
      <c r="E85" s="51" t="s">
        <v>337</v>
      </c>
      <c r="F85" s="51" t="s">
        <v>487</v>
      </c>
      <c r="G85" s="51"/>
      <c r="H85" s="51" t="s">
        <v>286</v>
      </c>
      <c r="I85" s="51"/>
      <c r="J85" s="51"/>
      <c r="K85" s="51" t="str">
        <f t="shared" si="0"/>
        <v>Đường D8/N1M Trụ 20B/32/15H- NR 191D/4730105354200</v>
      </c>
      <c r="L85" s="51" t="str">
        <f t="shared" si="1"/>
        <v>1411057056</v>
      </c>
      <c r="M85" s="51"/>
      <c r="N85" s="51"/>
      <c r="O85" s="51" t="s">
        <v>412</v>
      </c>
      <c r="P85" s="35"/>
      <c r="R85" s="38" t="s">
        <v>441</v>
      </c>
      <c r="S85" s="41" t="s">
        <v>291</v>
      </c>
      <c r="T85" s="41" t="s">
        <v>65</v>
      </c>
      <c r="U85" s="41" t="s">
        <v>540</v>
      </c>
      <c r="V85" s="41" t="s">
        <v>541</v>
      </c>
    </row>
    <row r="86" spans="1:22" ht="33.75" x14ac:dyDescent="0.3">
      <c r="A86" s="10">
        <v>181</v>
      </c>
      <c r="B86" s="34" t="s">
        <v>65</v>
      </c>
      <c r="E86" s="51" t="s">
        <v>338</v>
      </c>
      <c r="F86" s="51" t="s">
        <v>488</v>
      </c>
      <c r="G86" s="51"/>
      <c r="H86" s="51" t="s">
        <v>286</v>
      </c>
      <c r="I86" s="51"/>
      <c r="J86" s="51"/>
      <c r="K86" s="51" t="str">
        <f t="shared" si="0"/>
        <v>Đường D8/N1M Trụ 20B/32/15H- NR 191D/4730105354200</v>
      </c>
      <c r="L86" s="51" t="str">
        <f t="shared" si="1"/>
        <v>1411125857</v>
      </c>
      <c r="M86" s="51"/>
      <c r="N86" s="51"/>
      <c r="O86" s="51" t="s">
        <v>413</v>
      </c>
      <c r="P86" s="35"/>
      <c r="R86" s="48">
        <v>8</v>
      </c>
      <c r="S86" s="41" t="s">
        <v>612</v>
      </c>
      <c r="T86" s="41" t="s">
        <v>65</v>
      </c>
      <c r="U86" s="41" t="s">
        <v>546</v>
      </c>
      <c r="V86" s="41" t="s">
        <v>613</v>
      </c>
    </row>
    <row r="87" spans="1:22" ht="33.75" x14ac:dyDescent="0.3">
      <c r="A87" s="6">
        <v>182</v>
      </c>
      <c r="B87" s="34" t="s">
        <v>65</v>
      </c>
      <c r="E87" s="45" t="s">
        <v>339</v>
      </c>
      <c r="F87" s="45" t="s">
        <v>489</v>
      </c>
      <c r="G87" s="45"/>
      <c r="H87" s="45" t="s">
        <v>286</v>
      </c>
      <c r="I87" s="45"/>
      <c r="J87" s="45"/>
      <c r="K87" s="45" t="str">
        <f t="shared" si="0"/>
        <v>Đường D8/N1M Trụ 20B/32/4H- NR 191D/47301053542000</v>
      </c>
      <c r="L87" s="45" t="str">
        <f t="shared" si="1"/>
        <v>1411185550</v>
      </c>
      <c r="M87" s="45"/>
      <c r="N87" s="45"/>
      <c r="O87" s="45" t="s">
        <v>414</v>
      </c>
      <c r="P87" s="35"/>
      <c r="R87" s="48">
        <v>9</v>
      </c>
      <c r="S87" s="41" t="s">
        <v>614</v>
      </c>
      <c r="T87" s="41" t="s">
        <v>65</v>
      </c>
      <c r="U87" s="41" t="s">
        <v>546</v>
      </c>
      <c r="V87" s="41" t="s">
        <v>615</v>
      </c>
    </row>
    <row r="88" spans="1:22" ht="33.75" x14ac:dyDescent="0.3">
      <c r="A88" s="7">
        <v>183</v>
      </c>
      <c r="B88" s="34" t="s">
        <v>65</v>
      </c>
      <c r="E88" s="45" t="s">
        <v>340</v>
      </c>
      <c r="F88" s="45" t="s">
        <v>490</v>
      </c>
      <c r="G88" s="45"/>
      <c r="H88" s="45" t="s">
        <v>286</v>
      </c>
      <c r="I88" s="45"/>
      <c r="J88" s="45"/>
      <c r="K88" s="45" t="str">
        <f t="shared" si="0"/>
        <v>Đường D8/N1M Trụ 20B/32/4H- NR 191D/47301053542000</v>
      </c>
      <c r="L88" s="45" t="str">
        <f t="shared" si="1"/>
        <v>1411185151</v>
      </c>
      <c r="M88" s="52" t="s">
        <v>571</v>
      </c>
      <c r="N88" s="45"/>
      <c r="O88" s="45" t="s">
        <v>415</v>
      </c>
      <c r="P88" s="35"/>
      <c r="R88" s="48">
        <v>10</v>
      </c>
      <c r="S88" s="41" t="s">
        <v>616</v>
      </c>
      <c r="T88" s="41" t="s">
        <v>65</v>
      </c>
      <c r="U88" s="41" t="s">
        <v>546</v>
      </c>
      <c r="V88" s="41" t="s">
        <v>617</v>
      </c>
    </row>
    <row r="89" spans="1:22" ht="33.75" x14ac:dyDescent="0.3">
      <c r="A89" s="7">
        <v>184</v>
      </c>
      <c r="B89" s="34" t="s">
        <v>65</v>
      </c>
      <c r="E89" s="51" t="s">
        <v>341</v>
      </c>
      <c r="F89" s="51" t="s">
        <v>491</v>
      </c>
      <c r="G89" s="51"/>
      <c r="H89" s="51" t="s">
        <v>286</v>
      </c>
      <c r="I89" s="51"/>
      <c r="J89" s="51"/>
      <c r="K89" s="51" t="str">
        <f t="shared" si="0"/>
        <v>Đường D8/N1M Trụ 20B/32/15H- NR 191D/47301053542000</v>
      </c>
      <c r="L89" s="51" t="str">
        <f t="shared" si="1"/>
        <v>0131194860</v>
      </c>
      <c r="M89" s="51"/>
      <c r="N89" s="51"/>
      <c r="O89" s="51" t="s">
        <v>416</v>
      </c>
      <c r="P89" s="35"/>
      <c r="R89" s="48">
        <v>11</v>
      </c>
      <c r="S89" s="41" t="s">
        <v>618</v>
      </c>
      <c r="T89" s="41" t="s">
        <v>65</v>
      </c>
      <c r="U89" s="41" t="s">
        <v>546</v>
      </c>
      <c r="V89" s="41" t="s">
        <v>619</v>
      </c>
    </row>
    <row r="90" spans="1:22" ht="33.75" x14ac:dyDescent="0.3">
      <c r="A90" s="10">
        <v>185</v>
      </c>
      <c r="B90" s="34" t="s">
        <v>65</v>
      </c>
      <c r="E90" s="47" t="s">
        <v>342</v>
      </c>
      <c r="F90" s="47" t="s">
        <v>492</v>
      </c>
      <c r="G90" s="47"/>
      <c r="H90" s="47" t="s">
        <v>286</v>
      </c>
      <c r="I90" s="47"/>
      <c r="J90" s="47"/>
      <c r="K90" s="47" t="str">
        <f t="shared" si="0"/>
        <v>Đường D8/N1M Trụ 20B/32/17H- NR 191D/47301053542019</v>
      </c>
      <c r="L90" s="47" t="str">
        <f t="shared" si="1"/>
        <v>11435080</v>
      </c>
      <c r="M90" s="47"/>
      <c r="N90" s="47"/>
      <c r="O90" s="47" t="s">
        <v>417</v>
      </c>
      <c r="P90" s="35"/>
      <c r="R90" s="48">
        <v>12</v>
      </c>
      <c r="S90" s="41" t="s">
        <v>621</v>
      </c>
      <c r="T90" s="41" t="s">
        <v>65</v>
      </c>
      <c r="U90" s="41" t="s">
        <v>546</v>
      </c>
      <c r="V90" s="41" t="s">
        <v>620</v>
      </c>
    </row>
    <row r="91" spans="1:22" ht="33.75" x14ac:dyDescent="0.3">
      <c r="A91" s="6">
        <v>186</v>
      </c>
      <c r="B91" s="34" t="s">
        <v>65</v>
      </c>
      <c r="E91" s="47" t="s">
        <v>343</v>
      </c>
      <c r="F91" s="47" t="s">
        <v>493</v>
      </c>
      <c r="G91" s="47"/>
      <c r="H91" s="47" t="s">
        <v>286</v>
      </c>
      <c r="I91" s="47"/>
      <c r="J91" s="47"/>
      <c r="K91" s="47" t="str">
        <f t="shared" si="0"/>
        <v>Đường D8/N1M Trụ 20B/32/17H- NR 191D/47301053542019</v>
      </c>
      <c r="L91" s="47" t="str">
        <f t="shared" si="1"/>
        <v>11581460</v>
      </c>
      <c r="M91" s="47"/>
      <c r="N91" s="47"/>
      <c r="O91" s="47" t="s">
        <v>418</v>
      </c>
      <c r="P91" s="35"/>
      <c r="R91" s="38" t="s">
        <v>460</v>
      </c>
      <c r="S91" s="41" t="s">
        <v>310</v>
      </c>
      <c r="T91" s="41" t="s">
        <v>65</v>
      </c>
      <c r="U91" s="41" t="s">
        <v>546</v>
      </c>
      <c r="V91" s="41" t="s">
        <v>553</v>
      </c>
    </row>
    <row r="92" spans="1:22" ht="33.75" x14ac:dyDescent="0.3">
      <c r="A92" s="7">
        <v>187</v>
      </c>
      <c r="B92" s="34" t="s">
        <v>65</v>
      </c>
      <c r="E92" s="47" t="s">
        <v>344</v>
      </c>
      <c r="F92" s="47" t="s">
        <v>494</v>
      </c>
      <c r="G92" s="47"/>
      <c r="H92" s="47" t="s">
        <v>286</v>
      </c>
      <c r="I92" s="47"/>
      <c r="J92" s="47"/>
      <c r="K92" s="47" t="str">
        <f t="shared" si="0"/>
        <v>Đường D8/N1M Trụ 20B/32/17H- NR 191D/47301053542019</v>
      </c>
      <c r="L92" s="47" t="str">
        <f t="shared" si="1"/>
        <v>11581694</v>
      </c>
      <c r="M92" s="47"/>
      <c r="N92" s="47"/>
      <c r="O92" s="47" t="s">
        <v>419</v>
      </c>
      <c r="P92" s="35"/>
      <c r="R92" s="38" t="s">
        <v>442</v>
      </c>
      <c r="S92" s="41" t="s">
        <v>292</v>
      </c>
      <c r="T92" s="41" t="s">
        <v>65</v>
      </c>
      <c r="U92" s="41" t="s">
        <v>546</v>
      </c>
      <c r="V92" s="41" t="s">
        <v>542</v>
      </c>
    </row>
    <row r="93" spans="1:22" ht="33.75" x14ac:dyDescent="0.3">
      <c r="A93" s="7">
        <v>188</v>
      </c>
      <c r="B93" s="34" t="s">
        <v>65</v>
      </c>
      <c r="E93" s="47" t="s">
        <v>345</v>
      </c>
      <c r="F93" s="47" t="s">
        <v>495</v>
      </c>
      <c r="G93" s="47"/>
      <c r="H93" s="47" t="s">
        <v>286</v>
      </c>
      <c r="I93" s="47"/>
      <c r="J93" s="47"/>
      <c r="K93" s="47" t="str">
        <f t="shared" si="0"/>
        <v>Đường D8/N1M Trụ 20B/32/17H- NR 191D/47301053542024</v>
      </c>
      <c r="L93" s="47" t="str">
        <f t="shared" si="1"/>
        <v>1200144126</v>
      </c>
      <c r="M93" s="47"/>
      <c r="N93" s="47"/>
      <c r="O93" s="47" t="s">
        <v>420</v>
      </c>
      <c r="P93" s="35"/>
      <c r="R93" s="38" t="s">
        <v>443</v>
      </c>
      <c r="S93" s="41" t="s">
        <v>293</v>
      </c>
      <c r="T93" s="41" t="s">
        <v>65</v>
      </c>
      <c r="U93" s="41" t="s">
        <v>546</v>
      </c>
      <c r="V93" s="41" t="s">
        <v>543</v>
      </c>
    </row>
    <row r="94" spans="1:22" ht="33.75" x14ac:dyDescent="0.3">
      <c r="A94" s="10">
        <v>189</v>
      </c>
      <c r="B94" s="34" t="s">
        <v>65</v>
      </c>
      <c r="E94" s="49" t="s">
        <v>346</v>
      </c>
      <c r="F94" s="49" t="s">
        <v>496</v>
      </c>
      <c r="G94" s="49"/>
      <c r="H94" s="49" t="s">
        <v>286</v>
      </c>
      <c r="I94" s="49"/>
      <c r="J94" s="49"/>
      <c r="K94" s="49" t="str">
        <f t="shared" si="0"/>
        <v>Đường D8/N1M Trụ 20B/32/16H- NR 191D/47301053542019</v>
      </c>
      <c r="L94" s="49" t="str">
        <f t="shared" si="1"/>
        <v>1143511416</v>
      </c>
      <c r="M94" s="49"/>
      <c r="N94" s="49"/>
      <c r="O94" s="49" t="s">
        <v>421</v>
      </c>
      <c r="P94" s="35"/>
      <c r="R94" s="38" t="s">
        <v>444</v>
      </c>
      <c r="S94" s="41" t="s">
        <v>294</v>
      </c>
      <c r="T94" s="41" t="s">
        <v>65</v>
      </c>
      <c r="U94" s="41" t="s">
        <v>546</v>
      </c>
      <c r="V94" s="41" t="s">
        <v>544</v>
      </c>
    </row>
    <row r="95" spans="1:22" ht="33.75" x14ac:dyDescent="0.3">
      <c r="A95" s="6">
        <v>190</v>
      </c>
      <c r="B95" s="34" t="s">
        <v>65</v>
      </c>
      <c r="E95" s="49" t="s">
        <v>347</v>
      </c>
      <c r="F95" s="49" t="s">
        <v>497</v>
      </c>
      <c r="G95" s="49"/>
      <c r="H95" s="49" t="s">
        <v>286</v>
      </c>
      <c r="I95" s="49"/>
      <c r="J95" s="49"/>
      <c r="K95" s="49" t="str">
        <f t="shared" si="0"/>
        <v>Đường D8/N1M Trụ 20B/32/16H- NR 191D/47301053542019</v>
      </c>
      <c r="L95" s="49" t="str">
        <f t="shared" si="1"/>
        <v>11580448</v>
      </c>
      <c r="M95" s="49"/>
      <c r="N95" s="49"/>
      <c r="O95" s="49" t="s">
        <v>422</v>
      </c>
      <c r="P95" s="35"/>
      <c r="R95" s="38" t="s">
        <v>445</v>
      </c>
      <c r="S95" s="41" t="s">
        <v>295</v>
      </c>
      <c r="T95" s="41" t="s">
        <v>65</v>
      </c>
      <c r="U95" s="41" t="s">
        <v>546</v>
      </c>
      <c r="V95" s="41" t="s">
        <v>545</v>
      </c>
    </row>
    <row r="96" spans="1:22" ht="33.75" x14ac:dyDescent="0.3">
      <c r="A96" s="7">
        <v>191</v>
      </c>
      <c r="B96" s="34" t="s">
        <v>65</v>
      </c>
      <c r="E96" s="49" t="s">
        <v>348</v>
      </c>
      <c r="F96" s="49" t="s">
        <v>498</v>
      </c>
      <c r="G96" s="49"/>
      <c r="H96" s="49" t="s">
        <v>286</v>
      </c>
      <c r="I96" s="49"/>
      <c r="J96" s="49"/>
      <c r="K96" s="49" t="str">
        <f t="shared" si="0"/>
        <v>Đường D8/N1M Trụ 20B/32/16H- NR 191D/47301053542000</v>
      </c>
      <c r="L96" s="49" t="str">
        <f t="shared" si="1"/>
        <v>1411057405</v>
      </c>
      <c r="M96" s="49"/>
      <c r="N96" s="49"/>
      <c r="O96" s="49" t="s">
        <v>423</v>
      </c>
      <c r="P96" s="35"/>
      <c r="R96" s="48">
        <v>13</v>
      </c>
      <c r="S96" s="41" t="s">
        <v>622</v>
      </c>
      <c r="T96" s="41" t="s">
        <v>65</v>
      </c>
      <c r="U96" s="41" t="s">
        <v>546</v>
      </c>
      <c r="V96" s="41" t="s">
        <v>623</v>
      </c>
    </row>
    <row r="97" spans="1:22" ht="33.75" x14ac:dyDescent="0.3">
      <c r="A97" s="7">
        <v>192</v>
      </c>
      <c r="B97" s="34" t="s">
        <v>65</v>
      </c>
      <c r="E97" s="49" t="s">
        <v>349</v>
      </c>
      <c r="F97" s="49" t="s">
        <v>499</v>
      </c>
      <c r="G97" s="49"/>
      <c r="H97" s="49" t="s">
        <v>286</v>
      </c>
      <c r="I97" s="49"/>
      <c r="J97" s="49"/>
      <c r="K97" s="49" t="str">
        <f t="shared" si="0"/>
        <v>Đường D8/N1M Trụ 20B/32/16H- NR 191D/47301053542000</v>
      </c>
      <c r="L97" s="49" t="str">
        <f t="shared" si="1"/>
        <v>1411183992</v>
      </c>
      <c r="M97" s="49"/>
      <c r="N97" s="49"/>
      <c r="O97" s="49" t="s">
        <v>424</v>
      </c>
      <c r="P97" s="35"/>
      <c r="R97" s="38" t="s">
        <v>447</v>
      </c>
      <c r="S97" s="41" t="s">
        <v>297</v>
      </c>
      <c r="T97" s="41" t="s">
        <v>65</v>
      </c>
      <c r="U97" s="41" t="s">
        <v>546</v>
      </c>
      <c r="V97" s="41" t="s">
        <v>547</v>
      </c>
    </row>
    <row r="98" spans="1:22" ht="33.75" x14ac:dyDescent="0.3">
      <c r="A98" s="10">
        <v>193</v>
      </c>
      <c r="B98" s="34" t="s">
        <v>65</v>
      </c>
      <c r="E98" s="49" t="s">
        <v>350</v>
      </c>
      <c r="F98" s="49" t="s">
        <v>500</v>
      </c>
      <c r="G98" s="49"/>
      <c r="H98" s="49" t="s">
        <v>286</v>
      </c>
      <c r="I98" s="49"/>
      <c r="J98" s="49"/>
      <c r="K98" s="49" t="str">
        <f t="shared" ref="K98:K108" si="2">VLOOKUP(E98,$S$34:$V$108,3,0)</f>
        <v>Đường D8/N1M Trụ 20B/32/16H- NR 191D/47301053542000</v>
      </c>
      <c r="L98" s="49" t="str">
        <f t="shared" ref="L98:L108" si="3">VLOOKUP(E98,$S$34:$V$108,4,0)</f>
        <v>1411057359</v>
      </c>
      <c r="M98" s="49"/>
      <c r="N98" s="49"/>
      <c r="O98" s="49" t="s">
        <v>425</v>
      </c>
      <c r="P98" s="35"/>
      <c r="R98" s="38" t="s">
        <v>459</v>
      </c>
      <c r="S98" s="41" t="s">
        <v>309</v>
      </c>
      <c r="T98" s="41" t="s">
        <v>65</v>
      </c>
      <c r="U98" s="41" t="s">
        <v>551</v>
      </c>
      <c r="V98" s="41" t="s">
        <v>552</v>
      </c>
    </row>
    <row r="99" spans="1:22" ht="33.75" x14ac:dyDescent="0.3">
      <c r="A99" s="6">
        <v>194</v>
      </c>
      <c r="B99" s="34" t="s">
        <v>65</v>
      </c>
      <c r="E99" s="49" t="s">
        <v>351</v>
      </c>
      <c r="F99" s="49" t="s">
        <v>501</v>
      </c>
      <c r="G99" s="49"/>
      <c r="H99" s="49" t="s">
        <v>286</v>
      </c>
      <c r="I99" s="49"/>
      <c r="J99" s="49"/>
      <c r="K99" s="49" t="str">
        <f t="shared" si="2"/>
        <v>Đường D8/N1M Trụ 20B/32/16H- NR 191D/47301053542019</v>
      </c>
      <c r="L99" s="49" t="str">
        <f t="shared" si="3"/>
        <v>11435075</v>
      </c>
      <c r="M99" s="49"/>
      <c r="N99" s="49"/>
      <c r="O99" s="49" t="s">
        <v>426</v>
      </c>
      <c r="P99" s="35"/>
      <c r="R99" s="38" t="s">
        <v>458</v>
      </c>
      <c r="S99" s="41" t="s">
        <v>308</v>
      </c>
      <c r="T99" s="41" t="s">
        <v>65</v>
      </c>
      <c r="U99" s="41" t="s">
        <v>734</v>
      </c>
      <c r="V99" s="41" t="s">
        <v>735</v>
      </c>
    </row>
    <row r="100" spans="1:22" ht="33.75" x14ac:dyDescent="0.3">
      <c r="A100" s="7">
        <v>195</v>
      </c>
      <c r="B100" s="34" t="s">
        <v>65</v>
      </c>
      <c r="E100" s="49" t="s">
        <v>352</v>
      </c>
      <c r="F100" s="49" t="s">
        <v>502</v>
      </c>
      <c r="G100" s="49"/>
      <c r="H100" s="49" t="s">
        <v>286</v>
      </c>
      <c r="I100" s="49"/>
      <c r="J100" s="49"/>
      <c r="K100" s="49" t="str">
        <f t="shared" si="2"/>
        <v>Đường D8/N1M Trụ 20B/32/16H- NR 191D/47301053542019</v>
      </c>
      <c r="L100" s="49" t="str">
        <f t="shared" si="3"/>
        <v>11436578</v>
      </c>
      <c r="M100" s="49"/>
      <c r="N100" s="49"/>
      <c r="O100" s="49" t="s">
        <v>427</v>
      </c>
      <c r="P100" s="35"/>
      <c r="R100" s="38" t="s">
        <v>448</v>
      </c>
      <c r="S100" s="41" t="s">
        <v>298</v>
      </c>
      <c r="T100" s="41" t="s">
        <v>65</v>
      </c>
      <c r="U100" s="41" t="s">
        <v>546</v>
      </c>
      <c r="V100" s="41" t="s">
        <v>548</v>
      </c>
    </row>
    <row r="101" spans="1:22" ht="33.75" x14ac:dyDescent="0.3">
      <c r="A101" s="7">
        <v>196</v>
      </c>
      <c r="B101" s="34" t="s">
        <v>65</v>
      </c>
      <c r="E101" s="49" t="s">
        <v>353</v>
      </c>
      <c r="F101" s="49" t="s">
        <v>503</v>
      </c>
      <c r="G101" s="49"/>
      <c r="H101" s="49" t="s">
        <v>286</v>
      </c>
      <c r="I101" s="49"/>
      <c r="J101" s="49"/>
      <c r="K101" s="49" t="str">
        <f t="shared" si="2"/>
        <v>Đường D8/N1M Trụ 20B/32/16H- NR 191D/47301053542019</v>
      </c>
      <c r="L101" s="49" t="str">
        <f t="shared" si="3"/>
        <v>11583643</v>
      </c>
      <c r="M101" s="49"/>
      <c r="N101" s="49"/>
      <c r="O101" s="49" t="s">
        <v>428</v>
      </c>
      <c r="P101" s="35"/>
      <c r="R101" s="48">
        <v>14</v>
      </c>
      <c r="S101" s="41" t="s">
        <v>633</v>
      </c>
      <c r="T101" s="41" t="s">
        <v>65</v>
      </c>
      <c r="U101" s="41" t="s">
        <v>551</v>
      </c>
      <c r="V101" s="41" t="s">
        <v>624</v>
      </c>
    </row>
    <row r="102" spans="1:22" ht="33.75" x14ac:dyDescent="0.3">
      <c r="A102" s="10">
        <v>197</v>
      </c>
      <c r="B102" s="34" t="s">
        <v>65</v>
      </c>
      <c r="E102" s="51" t="s">
        <v>354</v>
      </c>
      <c r="F102" s="51" t="s">
        <v>504</v>
      </c>
      <c r="G102" s="51"/>
      <c r="H102" s="51" t="s">
        <v>286</v>
      </c>
      <c r="I102" s="51"/>
      <c r="J102" s="51"/>
      <c r="K102" s="51" t="str">
        <f t="shared" si="2"/>
        <v>Đường D8/N1M Trụ 20B/32/15H- NR 191D/47301053542000</v>
      </c>
      <c r="L102" s="51" t="str">
        <f t="shared" si="3"/>
        <v>1411125274</v>
      </c>
      <c r="M102" s="51"/>
      <c r="N102" s="51"/>
      <c r="O102" s="51" t="s">
        <v>429</v>
      </c>
      <c r="P102" s="35"/>
      <c r="R102" s="48">
        <v>15</v>
      </c>
      <c r="S102" s="41" t="s">
        <v>634</v>
      </c>
      <c r="T102" s="41" t="s">
        <v>65</v>
      </c>
      <c r="U102" s="41" t="s">
        <v>551</v>
      </c>
      <c r="V102" s="41" t="s">
        <v>625</v>
      </c>
    </row>
    <row r="103" spans="1:22" ht="33.75" x14ac:dyDescent="0.3">
      <c r="A103" s="6">
        <v>198</v>
      </c>
      <c r="B103" s="34" t="s">
        <v>65</v>
      </c>
      <c r="E103" s="51" t="s">
        <v>355</v>
      </c>
      <c r="F103" s="51" t="s">
        <v>505</v>
      </c>
      <c r="G103" s="51"/>
      <c r="H103" s="51" t="s">
        <v>286</v>
      </c>
      <c r="I103" s="51"/>
      <c r="J103" s="51"/>
      <c r="K103" s="51" t="str">
        <f t="shared" si="2"/>
        <v>Đường D8/N1M Trụ 20B/32/15H- NR 191D/47301053542000</v>
      </c>
      <c r="L103" s="51" t="str">
        <f t="shared" si="3"/>
        <v>1411125740</v>
      </c>
      <c r="M103" s="51"/>
      <c r="N103" s="51"/>
      <c r="O103" s="51" t="s">
        <v>430</v>
      </c>
      <c r="P103" s="35"/>
      <c r="R103" s="48">
        <v>16</v>
      </c>
      <c r="S103" s="41" t="s">
        <v>635</v>
      </c>
      <c r="T103" s="41" t="s">
        <v>65</v>
      </c>
      <c r="U103" s="41" t="s">
        <v>551</v>
      </c>
      <c r="V103" s="41" t="s">
        <v>626</v>
      </c>
    </row>
    <row r="104" spans="1:22" ht="33.75" x14ac:dyDescent="0.3">
      <c r="A104" s="7">
        <v>199</v>
      </c>
      <c r="B104" s="34" t="s">
        <v>65</v>
      </c>
      <c r="E104" s="51" t="s">
        <v>356</v>
      </c>
      <c r="F104" s="51" t="s">
        <v>506</v>
      </c>
      <c r="G104" s="51"/>
      <c r="H104" s="51" t="s">
        <v>286</v>
      </c>
      <c r="I104" s="51"/>
      <c r="J104" s="51"/>
      <c r="K104" s="51" t="str">
        <f t="shared" si="2"/>
        <v>Đường D8/N1M Trụ 20B/32/15H- NR 191D/47301053542000</v>
      </c>
      <c r="L104" s="51" t="str">
        <f t="shared" si="3"/>
        <v>0131166118</v>
      </c>
      <c r="M104" s="51"/>
      <c r="N104" s="51"/>
      <c r="O104" s="51" t="s">
        <v>431</v>
      </c>
      <c r="P104" s="35"/>
      <c r="R104" s="48">
        <v>17</v>
      </c>
      <c r="S104" s="41" t="s">
        <v>636</v>
      </c>
      <c r="T104" s="41" t="s">
        <v>65</v>
      </c>
      <c r="U104" s="41" t="s">
        <v>632</v>
      </c>
      <c r="V104" s="41" t="s">
        <v>627</v>
      </c>
    </row>
    <row r="105" spans="1:22" ht="33.75" x14ac:dyDescent="0.3">
      <c r="A105" s="7">
        <v>200</v>
      </c>
      <c r="B105" s="34" t="s">
        <v>65</v>
      </c>
      <c r="E105" s="51" t="s">
        <v>357</v>
      </c>
      <c r="F105" s="51" t="s">
        <v>507</v>
      </c>
      <c r="G105" s="51"/>
      <c r="H105" s="51" t="s">
        <v>286</v>
      </c>
      <c r="I105" s="51"/>
      <c r="J105" s="51"/>
      <c r="K105" s="51" t="str">
        <f t="shared" si="2"/>
        <v>Đường D8/N1M Trụ 20B/32/15H- NR 191D/47301053542000</v>
      </c>
      <c r="L105" s="51" t="str">
        <f t="shared" si="3"/>
        <v>1611060356</v>
      </c>
      <c r="M105" s="51"/>
      <c r="N105" s="51"/>
      <c r="O105" s="51" t="s">
        <v>432</v>
      </c>
      <c r="P105" s="35"/>
      <c r="R105" s="48">
        <v>18</v>
      </c>
      <c r="S105" s="41" t="s">
        <v>637</v>
      </c>
      <c r="T105" s="41" t="s">
        <v>65</v>
      </c>
      <c r="U105" s="41" t="s">
        <v>632</v>
      </c>
      <c r="V105" s="41" t="s">
        <v>628</v>
      </c>
    </row>
    <row r="106" spans="1:22" ht="33.75" x14ac:dyDescent="0.3">
      <c r="A106" s="10">
        <v>201</v>
      </c>
      <c r="B106" s="34" t="s">
        <v>65</v>
      </c>
      <c r="E106" s="51" t="s">
        <v>358</v>
      </c>
      <c r="F106" s="51" t="s">
        <v>508</v>
      </c>
      <c r="G106" s="51"/>
      <c r="H106" s="51" t="s">
        <v>286</v>
      </c>
      <c r="I106" s="51"/>
      <c r="J106" s="51"/>
      <c r="K106" s="51" t="str">
        <f t="shared" si="2"/>
        <v>Đường D8/N1M Trụ 20B/32/15H- NR 191D/47301053542000</v>
      </c>
      <c r="L106" s="51" t="str">
        <f t="shared" si="3"/>
        <v>0131195277</v>
      </c>
      <c r="M106" s="51"/>
      <c r="N106" s="51"/>
      <c r="O106" s="51" t="s">
        <v>433</v>
      </c>
      <c r="P106" s="35"/>
      <c r="R106" s="48">
        <v>19</v>
      </c>
      <c r="S106" s="41" t="s">
        <v>638</v>
      </c>
      <c r="T106" s="41" t="s">
        <v>65</v>
      </c>
      <c r="U106" s="41" t="s">
        <v>632</v>
      </c>
      <c r="V106" s="41" t="s">
        <v>629</v>
      </c>
    </row>
    <row r="107" spans="1:22" ht="33.75" x14ac:dyDescent="0.3">
      <c r="A107" s="5">
        <v>202</v>
      </c>
      <c r="B107" s="34" t="s">
        <v>65</v>
      </c>
      <c r="E107" s="51" t="s">
        <v>359</v>
      </c>
      <c r="F107" s="51" t="s">
        <v>509</v>
      </c>
      <c r="G107" s="51"/>
      <c r="H107" s="51" t="s">
        <v>286</v>
      </c>
      <c r="I107" s="51"/>
      <c r="J107" s="51"/>
      <c r="K107" s="51" t="str">
        <f t="shared" si="2"/>
        <v>Đường D8/N1M Trụ 20B/32/15H- NR 191D/47301053542000</v>
      </c>
      <c r="L107" s="51" t="str">
        <f t="shared" si="3"/>
        <v>1611755887</v>
      </c>
      <c r="M107" s="51"/>
      <c r="N107" s="51"/>
      <c r="O107" s="51" t="s">
        <v>434</v>
      </c>
      <c r="P107" s="35"/>
      <c r="R107" s="48">
        <v>20</v>
      </c>
      <c r="S107" s="41" t="s">
        <v>639</v>
      </c>
      <c r="T107" s="41" t="s">
        <v>65</v>
      </c>
      <c r="U107" s="41" t="s">
        <v>632</v>
      </c>
      <c r="V107" s="41" t="s">
        <v>630</v>
      </c>
    </row>
    <row r="108" spans="1:22" ht="33.75" x14ac:dyDescent="0.3">
      <c r="A108" s="7">
        <v>203</v>
      </c>
      <c r="B108" s="34" t="s">
        <v>65</v>
      </c>
      <c r="E108" s="51" t="s">
        <v>360</v>
      </c>
      <c r="F108" s="51" t="s">
        <v>510</v>
      </c>
      <c r="G108" s="51"/>
      <c r="H108" s="51" t="s">
        <v>286</v>
      </c>
      <c r="I108" s="51"/>
      <c r="J108" s="51"/>
      <c r="K108" s="51" t="str">
        <f t="shared" si="2"/>
        <v>Đường D8/N1M Trụ 20B/32/15H- NR 191D/47301053542000</v>
      </c>
      <c r="L108" s="51" t="str">
        <f t="shared" si="3"/>
        <v>1411162106</v>
      </c>
      <c r="M108" s="51"/>
      <c r="N108" s="51"/>
      <c r="O108" s="51" t="s">
        <v>435</v>
      </c>
      <c r="P108" s="35"/>
      <c r="R108" s="48">
        <v>21</v>
      </c>
      <c r="S108" s="41" t="s">
        <v>640</v>
      </c>
      <c r="T108" s="41" t="s">
        <v>65</v>
      </c>
      <c r="U108" s="41" t="s">
        <v>632</v>
      </c>
      <c r="V108" s="41" t="s">
        <v>631</v>
      </c>
    </row>
    <row r="109" spans="1:22" x14ac:dyDescent="0.3">
      <c r="E109" s="53" t="s">
        <v>604</v>
      </c>
      <c r="F109" s="54"/>
      <c r="G109" s="54"/>
      <c r="H109" s="54"/>
      <c r="I109" s="54"/>
      <c r="J109" s="55"/>
      <c r="K109" s="53" t="s">
        <v>540</v>
      </c>
      <c r="L109" s="53" t="s">
        <v>598</v>
      </c>
      <c r="M109" s="3"/>
      <c r="N109" s="3"/>
      <c r="O109" s="13"/>
      <c r="P109" s="56">
        <v>62</v>
      </c>
    </row>
    <row r="110" spans="1:22" x14ac:dyDescent="0.3">
      <c r="E110" s="53" t="s">
        <v>605</v>
      </c>
      <c r="F110" s="54"/>
      <c r="G110" s="54"/>
      <c r="H110" s="54"/>
      <c r="I110" s="54"/>
      <c r="J110" s="55"/>
      <c r="K110" s="53" t="s">
        <v>540</v>
      </c>
      <c r="L110" s="53" t="s">
        <v>599</v>
      </c>
      <c r="M110" s="3"/>
      <c r="N110" s="3"/>
      <c r="O110" s="13"/>
      <c r="P110" s="56">
        <v>63</v>
      </c>
    </row>
    <row r="111" spans="1:22" x14ac:dyDescent="0.3">
      <c r="E111" s="53" t="s">
        <v>606</v>
      </c>
      <c r="F111" s="54"/>
      <c r="G111" s="54"/>
      <c r="H111" s="54"/>
      <c r="I111" s="54"/>
      <c r="J111" s="55"/>
      <c r="K111" s="53" t="s">
        <v>540</v>
      </c>
      <c r="L111" s="53" t="s">
        <v>600</v>
      </c>
      <c r="M111" s="3"/>
      <c r="N111" s="3"/>
      <c r="O111" s="13"/>
      <c r="P111" s="56">
        <v>64</v>
      </c>
    </row>
    <row r="112" spans="1:22" x14ac:dyDescent="0.3">
      <c r="E112" s="53" t="s">
        <v>607</v>
      </c>
      <c r="F112" s="54"/>
      <c r="G112" s="54"/>
      <c r="H112" s="54"/>
      <c r="I112" s="54"/>
      <c r="J112" s="55"/>
      <c r="K112" s="53" t="s">
        <v>540</v>
      </c>
      <c r="L112" s="53" t="s">
        <v>601</v>
      </c>
      <c r="M112" s="3"/>
      <c r="N112" s="3"/>
      <c r="O112" s="13"/>
      <c r="P112" s="56">
        <v>65</v>
      </c>
    </row>
    <row r="113" spans="5:16" x14ac:dyDescent="0.3">
      <c r="E113" s="53" t="s">
        <v>608</v>
      </c>
      <c r="F113" s="54"/>
      <c r="G113" s="54"/>
      <c r="H113" s="54"/>
      <c r="I113" s="54"/>
      <c r="J113" s="55"/>
      <c r="K113" s="53" t="s">
        <v>540</v>
      </c>
      <c r="L113" s="53" t="s">
        <v>602</v>
      </c>
      <c r="M113" s="3"/>
      <c r="N113" s="3"/>
      <c r="O113" s="13"/>
      <c r="P113" s="56">
        <v>66</v>
      </c>
    </row>
    <row r="114" spans="5:16" x14ac:dyDescent="0.3">
      <c r="E114" s="53" t="s">
        <v>609</v>
      </c>
      <c r="F114" s="54"/>
      <c r="G114" s="54"/>
      <c r="H114" s="54"/>
      <c r="I114" s="54"/>
      <c r="J114" s="55"/>
      <c r="K114" s="53" t="s">
        <v>540</v>
      </c>
      <c r="L114" s="53" t="s">
        <v>603</v>
      </c>
      <c r="M114" s="3"/>
      <c r="N114" s="3"/>
      <c r="O114" s="13"/>
      <c r="P114" s="56">
        <v>67</v>
      </c>
    </row>
    <row r="115" spans="5:16" x14ac:dyDescent="0.3">
      <c r="E115" s="53" t="s">
        <v>610</v>
      </c>
      <c r="F115" s="54"/>
      <c r="G115" s="54"/>
      <c r="H115" s="54"/>
      <c r="I115" s="54"/>
      <c r="J115" s="55"/>
      <c r="K115" s="53" t="s">
        <v>540</v>
      </c>
      <c r="L115" s="53" t="s">
        <v>611</v>
      </c>
      <c r="M115" s="3"/>
      <c r="N115" s="3"/>
      <c r="O115" s="13"/>
      <c r="P115" s="56">
        <v>25</v>
      </c>
    </row>
    <row r="116" spans="5:16" x14ac:dyDescent="0.3">
      <c r="E116" s="57" t="s">
        <v>612</v>
      </c>
      <c r="F116" s="58"/>
      <c r="G116" s="58"/>
      <c r="H116" s="58"/>
      <c r="I116" s="58"/>
      <c r="J116" s="44"/>
      <c r="K116" s="57" t="s">
        <v>546</v>
      </c>
      <c r="L116" s="57" t="s">
        <v>613</v>
      </c>
      <c r="M116" s="3"/>
      <c r="N116" s="3"/>
      <c r="O116" s="13"/>
      <c r="P116" s="56">
        <v>71</v>
      </c>
    </row>
    <row r="117" spans="5:16" x14ac:dyDescent="0.3">
      <c r="E117" s="57" t="s">
        <v>614</v>
      </c>
      <c r="F117" s="58"/>
      <c r="G117" s="58"/>
      <c r="H117" s="58"/>
      <c r="I117" s="58"/>
      <c r="J117" s="44"/>
      <c r="K117" s="57" t="s">
        <v>546</v>
      </c>
      <c r="L117" s="57" t="s">
        <v>615</v>
      </c>
      <c r="M117" s="3"/>
      <c r="N117" s="3"/>
      <c r="O117" s="13"/>
      <c r="P117" s="56">
        <v>68</v>
      </c>
    </row>
    <row r="118" spans="5:16" x14ac:dyDescent="0.3">
      <c r="E118" s="57" t="s">
        <v>616</v>
      </c>
      <c r="F118" s="58"/>
      <c r="G118" s="58"/>
      <c r="H118" s="58"/>
      <c r="I118" s="58"/>
      <c r="J118" s="44"/>
      <c r="K118" s="57" t="s">
        <v>546</v>
      </c>
      <c r="L118" s="57" t="s">
        <v>617</v>
      </c>
      <c r="M118" s="3"/>
      <c r="N118" s="3"/>
      <c r="O118" s="13"/>
      <c r="P118" s="56">
        <v>69</v>
      </c>
    </row>
    <row r="119" spans="5:16" x14ac:dyDescent="0.3">
      <c r="E119" s="57" t="s">
        <v>618</v>
      </c>
      <c r="F119" s="58"/>
      <c r="G119" s="58"/>
      <c r="H119" s="58"/>
      <c r="I119" s="58"/>
      <c r="J119" s="44"/>
      <c r="K119" s="57" t="s">
        <v>546</v>
      </c>
      <c r="L119" s="57" t="s">
        <v>619</v>
      </c>
      <c r="M119" s="3"/>
      <c r="N119" s="3"/>
      <c r="O119" s="13"/>
      <c r="P119" s="56">
        <v>70</v>
      </c>
    </row>
    <row r="120" spans="5:16" x14ac:dyDescent="0.3">
      <c r="E120" s="57" t="s">
        <v>621</v>
      </c>
      <c r="F120" s="58"/>
      <c r="G120" s="58"/>
      <c r="H120" s="58"/>
      <c r="I120" s="58"/>
      <c r="J120" s="44"/>
      <c r="K120" s="57" t="s">
        <v>546</v>
      </c>
      <c r="L120" s="57" t="s">
        <v>620</v>
      </c>
      <c r="M120" s="3"/>
      <c r="N120" s="3"/>
      <c r="O120" s="13"/>
      <c r="P120" s="56">
        <v>72</v>
      </c>
    </row>
    <row r="121" spans="5:16" x14ac:dyDescent="0.3">
      <c r="E121" s="57" t="s">
        <v>622</v>
      </c>
      <c r="F121" s="58"/>
      <c r="G121" s="58"/>
      <c r="H121" s="58"/>
      <c r="I121" s="58"/>
      <c r="J121" s="44"/>
      <c r="K121" s="57" t="s">
        <v>546</v>
      </c>
      <c r="L121" s="57" t="s">
        <v>623</v>
      </c>
      <c r="M121" s="3"/>
      <c r="N121" s="3"/>
      <c r="O121" s="13"/>
      <c r="P121" s="56">
        <v>31</v>
      </c>
    </row>
    <row r="122" spans="5:16" x14ac:dyDescent="0.3">
      <c r="E122" s="59" t="s">
        <v>633</v>
      </c>
      <c r="F122" s="60"/>
      <c r="G122" s="60"/>
      <c r="H122" s="60"/>
      <c r="I122" s="60"/>
      <c r="J122" s="46"/>
      <c r="K122" s="59" t="s">
        <v>551</v>
      </c>
      <c r="L122" s="59" t="s">
        <v>624</v>
      </c>
      <c r="M122" s="3"/>
      <c r="N122" s="3"/>
      <c r="O122" s="13"/>
      <c r="P122" s="56">
        <v>34</v>
      </c>
    </row>
    <row r="123" spans="5:16" x14ac:dyDescent="0.3">
      <c r="E123" s="59" t="s">
        <v>634</v>
      </c>
      <c r="F123" s="60"/>
      <c r="G123" s="60"/>
      <c r="H123" s="60"/>
      <c r="I123" s="60"/>
      <c r="J123" s="46"/>
      <c r="K123" s="59" t="s">
        <v>551</v>
      </c>
      <c r="L123" s="59" t="s">
        <v>625</v>
      </c>
      <c r="M123" s="3"/>
      <c r="N123" s="3"/>
      <c r="O123" s="13"/>
      <c r="P123" s="56">
        <v>35</v>
      </c>
    </row>
    <row r="124" spans="5:16" x14ac:dyDescent="0.3">
      <c r="E124" s="59" t="s">
        <v>635</v>
      </c>
      <c r="F124" s="60"/>
      <c r="G124" s="60"/>
      <c r="H124" s="60"/>
      <c r="I124" s="60"/>
      <c r="J124" s="46"/>
      <c r="K124" s="59" t="s">
        <v>551</v>
      </c>
      <c r="L124" s="59" t="s">
        <v>626</v>
      </c>
      <c r="M124" s="3"/>
      <c r="N124" s="3"/>
      <c r="O124" s="13"/>
      <c r="P124" s="56">
        <v>36</v>
      </c>
    </row>
    <row r="125" spans="5:16" x14ac:dyDescent="0.3">
      <c r="E125" s="61" t="s">
        <v>636</v>
      </c>
      <c r="F125" s="62"/>
      <c r="G125" s="62"/>
      <c r="H125" s="62"/>
      <c r="I125" s="62"/>
      <c r="J125" s="63"/>
      <c r="K125" s="61" t="s">
        <v>632</v>
      </c>
      <c r="L125" s="61" t="s">
        <v>627</v>
      </c>
      <c r="M125" s="3"/>
      <c r="N125" s="3"/>
      <c r="O125" s="13"/>
      <c r="P125" s="56">
        <v>37</v>
      </c>
    </row>
    <row r="126" spans="5:16" x14ac:dyDescent="0.3">
      <c r="E126" s="61" t="s">
        <v>637</v>
      </c>
      <c r="F126" s="62"/>
      <c r="G126" s="62"/>
      <c r="H126" s="62"/>
      <c r="I126" s="62"/>
      <c r="J126" s="63"/>
      <c r="K126" s="61" t="s">
        <v>632</v>
      </c>
      <c r="L126" s="61" t="s">
        <v>628</v>
      </c>
      <c r="M126" s="3"/>
      <c r="N126" s="3"/>
      <c r="O126" s="13"/>
      <c r="P126" s="56">
        <v>38</v>
      </c>
    </row>
    <row r="127" spans="5:16" x14ac:dyDescent="0.3">
      <c r="E127" s="61" t="s">
        <v>638</v>
      </c>
      <c r="F127" s="62"/>
      <c r="G127" s="62"/>
      <c r="H127" s="62"/>
      <c r="I127" s="62"/>
      <c r="J127" s="63"/>
      <c r="K127" s="61" t="s">
        <v>632</v>
      </c>
      <c r="L127" s="61" t="s">
        <v>629</v>
      </c>
      <c r="M127" s="3"/>
      <c r="N127" s="3"/>
      <c r="O127" s="13"/>
      <c r="P127" s="56">
        <v>39</v>
      </c>
    </row>
    <row r="128" spans="5:16" x14ac:dyDescent="0.3">
      <c r="E128" s="61" t="s">
        <v>639</v>
      </c>
      <c r="F128" s="62"/>
      <c r="G128" s="62"/>
      <c r="H128" s="62"/>
      <c r="I128" s="62"/>
      <c r="J128" s="63"/>
      <c r="K128" s="61" t="s">
        <v>632</v>
      </c>
      <c r="L128" s="61" t="s">
        <v>630</v>
      </c>
      <c r="M128" s="3"/>
      <c r="N128" s="3"/>
      <c r="O128" s="13"/>
      <c r="P128" s="56">
        <v>40</v>
      </c>
    </row>
    <row r="129" spans="5:16" x14ac:dyDescent="0.3">
      <c r="E129" s="61" t="s">
        <v>640</v>
      </c>
      <c r="F129" s="62"/>
      <c r="G129" s="62"/>
      <c r="H129" s="62"/>
      <c r="I129" s="62"/>
      <c r="J129" s="63"/>
      <c r="K129" s="61" t="s">
        <v>632</v>
      </c>
      <c r="L129" s="61" t="s">
        <v>631</v>
      </c>
      <c r="M129" s="3"/>
      <c r="N129" s="3"/>
      <c r="O129" s="13"/>
      <c r="P129" s="56">
        <v>41</v>
      </c>
    </row>
  </sheetData>
  <pageMargins left="0.7" right="0.7" top="0.75" bottom="0.75" header="0.3" footer="0.3"/>
  <pageSetup paperSize="8" scale="94" fitToHeight="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3CC623-C709-4011-B8E1-918128B6B7F9}">
  <sheetPr codeName="Sheet4"/>
  <dimension ref="A1:O22"/>
  <sheetViews>
    <sheetView workbookViewId="0">
      <selection sqref="A1:F15"/>
    </sheetView>
  </sheetViews>
  <sheetFormatPr defaultRowHeight="16.5" x14ac:dyDescent="0.25"/>
  <cols>
    <col min="1" max="1" width="15.5546875" customWidth="1"/>
    <col min="2" max="2" width="33.109375" customWidth="1"/>
    <col min="14" max="14" width="10.88671875" bestFit="1" customWidth="1"/>
  </cols>
  <sheetData>
    <row r="1" spans="1:15" x14ac:dyDescent="0.25">
      <c r="A1" s="195" t="s">
        <v>285</v>
      </c>
      <c r="B1" s="196"/>
      <c r="C1" s="196"/>
      <c r="D1" s="196"/>
      <c r="E1" s="196"/>
      <c r="F1" s="196"/>
    </row>
    <row r="2" spans="1:15" x14ac:dyDescent="0.25">
      <c r="A2" s="196"/>
      <c r="B2" s="196"/>
      <c r="C2" s="196"/>
      <c r="D2" s="196"/>
      <c r="E2" s="196"/>
      <c r="F2" s="196"/>
    </row>
    <row r="3" spans="1:15" x14ac:dyDescent="0.25">
      <c r="A3" s="196"/>
      <c r="B3" s="196"/>
      <c r="C3" s="196"/>
      <c r="D3" s="196"/>
      <c r="E3" s="196"/>
      <c r="F3" s="196"/>
    </row>
    <row r="4" spans="1:15" x14ac:dyDescent="0.25">
      <c r="A4" s="196"/>
      <c r="B4" s="196"/>
      <c r="C4" s="196"/>
      <c r="D4" s="196"/>
      <c r="E4" s="196"/>
      <c r="F4" s="196"/>
    </row>
    <row r="5" spans="1:15" x14ac:dyDescent="0.25">
      <c r="A5" s="196"/>
      <c r="B5" s="196"/>
      <c r="C5" s="196"/>
      <c r="D5" s="196"/>
      <c r="E5" s="196"/>
      <c r="F5" s="196"/>
    </row>
    <row r="6" spans="1:15" x14ac:dyDescent="0.25">
      <c r="A6" s="196"/>
      <c r="B6" s="196"/>
      <c r="C6" s="196"/>
      <c r="D6" s="196"/>
      <c r="E6" s="196"/>
      <c r="F6" s="196"/>
    </row>
    <row r="7" spans="1:15" x14ac:dyDescent="0.25">
      <c r="A7" s="196"/>
      <c r="B7" s="196"/>
      <c r="C7" s="196"/>
      <c r="D7" s="196"/>
      <c r="E7" s="196"/>
      <c r="F7" s="196"/>
    </row>
    <row r="8" spans="1:15" x14ac:dyDescent="0.25">
      <c r="A8" s="196"/>
      <c r="B8" s="196"/>
      <c r="C8" s="196"/>
      <c r="D8" s="196"/>
      <c r="E8" s="196"/>
      <c r="F8" s="196"/>
    </row>
    <row r="9" spans="1:15" x14ac:dyDescent="0.25">
      <c r="A9" s="196"/>
      <c r="B9" s="196"/>
      <c r="C9" s="196"/>
      <c r="D9" s="196"/>
      <c r="E9" s="196"/>
      <c r="F9" s="196"/>
      <c r="J9">
        <v>2</v>
      </c>
      <c r="K9" t="e">
        <f>REPLACE(J9,1,1,"Căn số "+"TEXT(J9)")</f>
        <v>#VALUE!</v>
      </c>
      <c r="N9">
        <v>1023181727</v>
      </c>
      <c r="O9" s="12" t="e" cm="1">
        <f t="array" ref="O9">REPLACE(REPLACE(REPLACE(REPLACE(N9,3,0,”/”),6,0,”/”),9,0,” “),12,0,”:”)</f>
        <v>#NAME?</v>
      </c>
    </row>
    <row r="10" spans="1:15" x14ac:dyDescent="0.25">
      <c r="A10" s="196"/>
      <c r="B10" s="196"/>
      <c r="C10" s="196"/>
      <c r="D10" s="196"/>
      <c r="E10" s="196"/>
      <c r="F10" s="196"/>
    </row>
    <row r="11" spans="1:15" x14ac:dyDescent="0.25">
      <c r="A11" s="196"/>
      <c r="B11" s="196"/>
      <c r="C11" s="196"/>
      <c r="D11" s="196"/>
      <c r="E11" s="196"/>
      <c r="F11" s="196"/>
    </row>
    <row r="12" spans="1:15" x14ac:dyDescent="0.25">
      <c r="A12" s="196"/>
      <c r="B12" s="196"/>
      <c r="C12" s="196"/>
      <c r="D12" s="196"/>
      <c r="E12" s="196"/>
      <c r="F12" s="196"/>
    </row>
    <row r="13" spans="1:15" x14ac:dyDescent="0.25">
      <c r="A13" s="196"/>
      <c r="B13" s="196"/>
      <c r="C13" s="196"/>
      <c r="D13" s="196"/>
      <c r="E13" s="196"/>
      <c r="F13" s="196"/>
      <c r="M13" t="str">
        <f>REPLACE(N9,3,3,"999")</f>
        <v>1099981727</v>
      </c>
    </row>
    <row r="14" spans="1:15" x14ac:dyDescent="0.25">
      <c r="A14" s="196"/>
      <c r="B14" s="196"/>
      <c r="C14" s="196"/>
      <c r="D14" s="196"/>
      <c r="E14" s="196"/>
      <c r="F14" s="196"/>
    </row>
    <row r="15" spans="1:15" x14ac:dyDescent="0.25">
      <c r="A15" s="196"/>
      <c r="B15" s="196"/>
      <c r="C15" s="196"/>
      <c r="D15" s="196"/>
      <c r="E15" s="196"/>
      <c r="F15" s="196"/>
    </row>
    <row r="18" spans="1:2" ht="161.25" customHeight="1" x14ac:dyDescent="0.25">
      <c r="A18" s="73" t="s">
        <v>751</v>
      </c>
      <c r="B18" s="76" t="s">
        <v>740</v>
      </c>
    </row>
    <row r="22" spans="1:2" ht="49.5" x14ac:dyDescent="0.25">
      <c r="A22" s="79" t="s">
        <v>757</v>
      </c>
      <c r="B22" s="42" t="s">
        <v>758</v>
      </c>
    </row>
  </sheetData>
  <mergeCells count="1">
    <mergeCell ref="A1:F15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678D41-8FB1-43E0-999C-A5E19B492422}">
  <sheetPr codeName="Sheet5">
    <pageSetUpPr fitToPage="1"/>
  </sheetPr>
  <dimension ref="A1:I251"/>
  <sheetViews>
    <sheetView workbookViewId="0"/>
  </sheetViews>
  <sheetFormatPr defaultColWidth="7" defaultRowHeight="18.75" x14ac:dyDescent="0.3"/>
  <cols>
    <col min="1" max="1" width="15" style="69" bestFit="1" customWidth="1"/>
    <col min="2" max="2" width="34.109375" style="69" bestFit="1" customWidth="1"/>
    <col min="3" max="3" width="27.44140625" style="71" bestFit="1" customWidth="1"/>
    <col min="4" max="4" width="58.109375" style="69" customWidth="1"/>
    <col min="5" max="5" width="14.5546875" style="65" customWidth="1"/>
    <col min="6" max="6" width="55.44140625" style="69" customWidth="1"/>
    <col min="7" max="238" width="7" style="69"/>
    <col min="239" max="239" width="4.109375" style="69" customWidth="1"/>
    <col min="240" max="240" width="3.6640625" style="69" customWidth="1"/>
    <col min="241" max="241" width="4.88671875" style="69" customWidth="1"/>
    <col min="242" max="242" width="10.33203125" style="69" customWidth="1"/>
    <col min="243" max="243" width="13.33203125" style="69" customWidth="1"/>
    <col min="244" max="244" width="5.5546875" style="69" customWidth="1"/>
    <col min="245" max="245" width="6.44140625" style="69" customWidth="1"/>
    <col min="246" max="246" width="11.6640625" style="69" customWidth="1"/>
    <col min="247" max="247" width="10.44140625" style="69" customWidth="1"/>
    <col min="248" max="248" width="13.44140625" style="69" customWidth="1"/>
    <col min="249" max="494" width="7" style="69"/>
    <col min="495" max="495" width="4.109375" style="69" customWidth="1"/>
    <col min="496" max="496" width="3.6640625" style="69" customWidth="1"/>
    <col min="497" max="497" width="4.88671875" style="69" customWidth="1"/>
    <col min="498" max="498" width="10.33203125" style="69" customWidth="1"/>
    <col min="499" max="499" width="13.33203125" style="69" customWidth="1"/>
    <col min="500" max="500" width="5.5546875" style="69" customWidth="1"/>
    <col min="501" max="501" width="6.44140625" style="69" customWidth="1"/>
    <col min="502" max="502" width="11.6640625" style="69" customWidth="1"/>
    <col min="503" max="503" width="10.44140625" style="69" customWidth="1"/>
    <col min="504" max="504" width="13.44140625" style="69" customWidth="1"/>
    <col min="505" max="750" width="7" style="69"/>
    <col min="751" max="751" width="4.109375" style="69" customWidth="1"/>
    <col min="752" max="752" width="3.6640625" style="69" customWidth="1"/>
    <col min="753" max="753" width="4.88671875" style="69" customWidth="1"/>
    <col min="754" max="754" width="10.33203125" style="69" customWidth="1"/>
    <col min="755" max="755" width="13.33203125" style="69" customWidth="1"/>
    <col min="756" max="756" width="5.5546875" style="69" customWidth="1"/>
    <col min="757" max="757" width="6.44140625" style="69" customWidth="1"/>
    <col min="758" max="758" width="11.6640625" style="69" customWidth="1"/>
    <col min="759" max="759" width="10.44140625" style="69" customWidth="1"/>
    <col min="760" max="760" width="13.44140625" style="69" customWidth="1"/>
    <col min="761" max="1006" width="7" style="69"/>
    <col min="1007" max="1007" width="4.109375" style="69" customWidth="1"/>
    <col min="1008" max="1008" width="3.6640625" style="69" customWidth="1"/>
    <col min="1009" max="1009" width="4.88671875" style="69" customWidth="1"/>
    <col min="1010" max="1010" width="10.33203125" style="69" customWidth="1"/>
    <col min="1011" max="1011" width="13.33203125" style="69" customWidth="1"/>
    <col min="1012" max="1012" width="5.5546875" style="69" customWidth="1"/>
    <col min="1013" max="1013" width="6.44140625" style="69" customWidth="1"/>
    <col min="1014" max="1014" width="11.6640625" style="69" customWidth="1"/>
    <col min="1015" max="1015" width="10.44140625" style="69" customWidth="1"/>
    <col min="1016" max="1016" width="13.44140625" style="69" customWidth="1"/>
    <col min="1017" max="1262" width="7" style="69"/>
    <col min="1263" max="1263" width="4.109375" style="69" customWidth="1"/>
    <col min="1264" max="1264" width="3.6640625" style="69" customWidth="1"/>
    <col min="1265" max="1265" width="4.88671875" style="69" customWidth="1"/>
    <col min="1266" max="1266" width="10.33203125" style="69" customWidth="1"/>
    <col min="1267" max="1267" width="13.33203125" style="69" customWidth="1"/>
    <col min="1268" max="1268" width="5.5546875" style="69" customWidth="1"/>
    <col min="1269" max="1269" width="6.44140625" style="69" customWidth="1"/>
    <col min="1270" max="1270" width="11.6640625" style="69" customWidth="1"/>
    <col min="1271" max="1271" width="10.44140625" style="69" customWidth="1"/>
    <col min="1272" max="1272" width="13.44140625" style="69" customWidth="1"/>
    <col min="1273" max="1518" width="7" style="69"/>
    <col min="1519" max="1519" width="4.109375" style="69" customWidth="1"/>
    <col min="1520" max="1520" width="3.6640625" style="69" customWidth="1"/>
    <col min="1521" max="1521" width="4.88671875" style="69" customWidth="1"/>
    <col min="1522" max="1522" width="10.33203125" style="69" customWidth="1"/>
    <col min="1523" max="1523" width="13.33203125" style="69" customWidth="1"/>
    <col min="1524" max="1524" width="5.5546875" style="69" customWidth="1"/>
    <col min="1525" max="1525" width="6.44140625" style="69" customWidth="1"/>
    <col min="1526" max="1526" width="11.6640625" style="69" customWidth="1"/>
    <col min="1527" max="1527" width="10.44140625" style="69" customWidth="1"/>
    <col min="1528" max="1528" width="13.44140625" style="69" customWidth="1"/>
    <col min="1529" max="1774" width="7" style="69"/>
    <col min="1775" max="1775" width="4.109375" style="69" customWidth="1"/>
    <col min="1776" max="1776" width="3.6640625" style="69" customWidth="1"/>
    <col min="1777" max="1777" width="4.88671875" style="69" customWidth="1"/>
    <col min="1778" max="1778" width="10.33203125" style="69" customWidth="1"/>
    <col min="1779" max="1779" width="13.33203125" style="69" customWidth="1"/>
    <col min="1780" max="1780" width="5.5546875" style="69" customWidth="1"/>
    <col min="1781" max="1781" width="6.44140625" style="69" customWidth="1"/>
    <col min="1782" max="1782" width="11.6640625" style="69" customWidth="1"/>
    <col min="1783" max="1783" width="10.44140625" style="69" customWidth="1"/>
    <col min="1784" max="1784" width="13.44140625" style="69" customWidth="1"/>
    <col min="1785" max="2030" width="7" style="69"/>
    <col min="2031" max="2031" width="4.109375" style="69" customWidth="1"/>
    <col min="2032" max="2032" width="3.6640625" style="69" customWidth="1"/>
    <col min="2033" max="2033" width="4.88671875" style="69" customWidth="1"/>
    <col min="2034" max="2034" width="10.33203125" style="69" customWidth="1"/>
    <col min="2035" max="2035" width="13.33203125" style="69" customWidth="1"/>
    <col min="2036" max="2036" width="5.5546875" style="69" customWidth="1"/>
    <col min="2037" max="2037" width="6.44140625" style="69" customWidth="1"/>
    <col min="2038" max="2038" width="11.6640625" style="69" customWidth="1"/>
    <col min="2039" max="2039" width="10.44140625" style="69" customWidth="1"/>
    <col min="2040" max="2040" width="13.44140625" style="69" customWidth="1"/>
    <col min="2041" max="2286" width="7" style="69"/>
    <col min="2287" max="2287" width="4.109375" style="69" customWidth="1"/>
    <col min="2288" max="2288" width="3.6640625" style="69" customWidth="1"/>
    <col min="2289" max="2289" width="4.88671875" style="69" customWidth="1"/>
    <col min="2290" max="2290" width="10.33203125" style="69" customWidth="1"/>
    <col min="2291" max="2291" width="13.33203125" style="69" customWidth="1"/>
    <col min="2292" max="2292" width="5.5546875" style="69" customWidth="1"/>
    <col min="2293" max="2293" width="6.44140625" style="69" customWidth="1"/>
    <col min="2294" max="2294" width="11.6640625" style="69" customWidth="1"/>
    <col min="2295" max="2295" width="10.44140625" style="69" customWidth="1"/>
    <col min="2296" max="2296" width="13.44140625" style="69" customWidth="1"/>
    <col min="2297" max="2542" width="7" style="69"/>
    <col min="2543" max="2543" width="4.109375" style="69" customWidth="1"/>
    <col min="2544" max="2544" width="3.6640625" style="69" customWidth="1"/>
    <col min="2545" max="2545" width="4.88671875" style="69" customWidth="1"/>
    <col min="2546" max="2546" width="10.33203125" style="69" customWidth="1"/>
    <col min="2547" max="2547" width="13.33203125" style="69" customWidth="1"/>
    <col min="2548" max="2548" width="5.5546875" style="69" customWidth="1"/>
    <col min="2549" max="2549" width="6.44140625" style="69" customWidth="1"/>
    <col min="2550" max="2550" width="11.6640625" style="69" customWidth="1"/>
    <col min="2551" max="2551" width="10.44140625" style="69" customWidth="1"/>
    <col min="2552" max="2552" width="13.44140625" style="69" customWidth="1"/>
    <col min="2553" max="2798" width="7" style="69"/>
    <col min="2799" max="2799" width="4.109375" style="69" customWidth="1"/>
    <col min="2800" max="2800" width="3.6640625" style="69" customWidth="1"/>
    <col min="2801" max="2801" width="4.88671875" style="69" customWidth="1"/>
    <col min="2802" max="2802" width="10.33203125" style="69" customWidth="1"/>
    <col min="2803" max="2803" width="13.33203125" style="69" customWidth="1"/>
    <col min="2804" max="2804" width="5.5546875" style="69" customWidth="1"/>
    <col min="2805" max="2805" width="6.44140625" style="69" customWidth="1"/>
    <col min="2806" max="2806" width="11.6640625" style="69" customWidth="1"/>
    <col min="2807" max="2807" width="10.44140625" style="69" customWidth="1"/>
    <col min="2808" max="2808" width="13.44140625" style="69" customWidth="1"/>
    <col min="2809" max="3054" width="7" style="69"/>
    <col min="3055" max="3055" width="4.109375" style="69" customWidth="1"/>
    <col min="3056" max="3056" width="3.6640625" style="69" customWidth="1"/>
    <col min="3057" max="3057" width="4.88671875" style="69" customWidth="1"/>
    <col min="3058" max="3058" width="10.33203125" style="69" customWidth="1"/>
    <col min="3059" max="3059" width="13.33203125" style="69" customWidth="1"/>
    <col min="3060" max="3060" width="5.5546875" style="69" customWidth="1"/>
    <col min="3061" max="3061" width="6.44140625" style="69" customWidth="1"/>
    <col min="3062" max="3062" width="11.6640625" style="69" customWidth="1"/>
    <col min="3063" max="3063" width="10.44140625" style="69" customWidth="1"/>
    <col min="3064" max="3064" width="13.44140625" style="69" customWidth="1"/>
    <col min="3065" max="3310" width="7" style="69"/>
    <col min="3311" max="3311" width="4.109375" style="69" customWidth="1"/>
    <col min="3312" max="3312" width="3.6640625" style="69" customWidth="1"/>
    <col min="3313" max="3313" width="4.88671875" style="69" customWidth="1"/>
    <col min="3314" max="3314" width="10.33203125" style="69" customWidth="1"/>
    <col min="3315" max="3315" width="13.33203125" style="69" customWidth="1"/>
    <col min="3316" max="3316" width="5.5546875" style="69" customWidth="1"/>
    <col min="3317" max="3317" width="6.44140625" style="69" customWidth="1"/>
    <col min="3318" max="3318" width="11.6640625" style="69" customWidth="1"/>
    <col min="3319" max="3319" width="10.44140625" style="69" customWidth="1"/>
    <col min="3320" max="3320" width="13.44140625" style="69" customWidth="1"/>
    <col min="3321" max="3566" width="7" style="69"/>
    <col min="3567" max="3567" width="4.109375" style="69" customWidth="1"/>
    <col min="3568" max="3568" width="3.6640625" style="69" customWidth="1"/>
    <col min="3569" max="3569" width="4.88671875" style="69" customWidth="1"/>
    <col min="3570" max="3570" width="10.33203125" style="69" customWidth="1"/>
    <col min="3571" max="3571" width="13.33203125" style="69" customWidth="1"/>
    <col min="3572" max="3572" width="5.5546875" style="69" customWidth="1"/>
    <col min="3573" max="3573" width="6.44140625" style="69" customWidth="1"/>
    <col min="3574" max="3574" width="11.6640625" style="69" customWidth="1"/>
    <col min="3575" max="3575" width="10.44140625" style="69" customWidth="1"/>
    <col min="3576" max="3576" width="13.44140625" style="69" customWidth="1"/>
    <col min="3577" max="3822" width="7" style="69"/>
    <col min="3823" max="3823" width="4.109375" style="69" customWidth="1"/>
    <col min="3824" max="3824" width="3.6640625" style="69" customWidth="1"/>
    <col min="3825" max="3825" width="4.88671875" style="69" customWidth="1"/>
    <col min="3826" max="3826" width="10.33203125" style="69" customWidth="1"/>
    <col min="3827" max="3827" width="13.33203125" style="69" customWidth="1"/>
    <col min="3828" max="3828" width="5.5546875" style="69" customWidth="1"/>
    <col min="3829" max="3829" width="6.44140625" style="69" customWidth="1"/>
    <col min="3830" max="3830" width="11.6640625" style="69" customWidth="1"/>
    <col min="3831" max="3831" width="10.44140625" style="69" customWidth="1"/>
    <col min="3832" max="3832" width="13.44140625" style="69" customWidth="1"/>
    <col min="3833" max="4078" width="7" style="69"/>
    <col min="4079" max="4079" width="4.109375" style="69" customWidth="1"/>
    <col min="4080" max="4080" width="3.6640625" style="69" customWidth="1"/>
    <col min="4081" max="4081" width="4.88671875" style="69" customWidth="1"/>
    <col min="4082" max="4082" width="10.33203125" style="69" customWidth="1"/>
    <col min="4083" max="4083" width="13.33203125" style="69" customWidth="1"/>
    <col min="4084" max="4084" width="5.5546875" style="69" customWidth="1"/>
    <col min="4085" max="4085" width="6.44140625" style="69" customWidth="1"/>
    <col min="4086" max="4086" width="11.6640625" style="69" customWidth="1"/>
    <col min="4087" max="4087" width="10.44140625" style="69" customWidth="1"/>
    <col min="4088" max="4088" width="13.44140625" style="69" customWidth="1"/>
    <col min="4089" max="4334" width="7" style="69"/>
    <col min="4335" max="4335" width="4.109375" style="69" customWidth="1"/>
    <col min="4336" max="4336" width="3.6640625" style="69" customWidth="1"/>
    <col min="4337" max="4337" width="4.88671875" style="69" customWidth="1"/>
    <col min="4338" max="4338" width="10.33203125" style="69" customWidth="1"/>
    <col min="4339" max="4339" width="13.33203125" style="69" customWidth="1"/>
    <col min="4340" max="4340" width="5.5546875" style="69" customWidth="1"/>
    <col min="4341" max="4341" width="6.44140625" style="69" customWidth="1"/>
    <col min="4342" max="4342" width="11.6640625" style="69" customWidth="1"/>
    <col min="4343" max="4343" width="10.44140625" style="69" customWidth="1"/>
    <col min="4344" max="4344" width="13.44140625" style="69" customWidth="1"/>
    <col min="4345" max="4590" width="7" style="69"/>
    <col min="4591" max="4591" width="4.109375" style="69" customWidth="1"/>
    <col min="4592" max="4592" width="3.6640625" style="69" customWidth="1"/>
    <col min="4593" max="4593" width="4.88671875" style="69" customWidth="1"/>
    <col min="4594" max="4594" width="10.33203125" style="69" customWidth="1"/>
    <col min="4595" max="4595" width="13.33203125" style="69" customWidth="1"/>
    <col min="4596" max="4596" width="5.5546875" style="69" customWidth="1"/>
    <col min="4597" max="4597" width="6.44140625" style="69" customWidth="1"/>
    <col min="4598" max="4598" width="11.6640625" style="69" customWidth="1"/>
    <col min="4599" max="4599" width="10.44140625" style="69" customWidth="1"/>
    <col min="4600" max="4600" width="13.44140625" style="69" customWidth="1"/>
    <col min="4601" max="4846" width="7" style="69"/>
    <col min="4847" max="4847" width="4.109375" style="69" customWidth="1"/>
    <col min="4848" max="4848" width="3.6640625" style="69" customWidth="1"/>
    <col min="4849" max="4849" width="4.88671875" style="69" customWidth="1"/>
    <col min="4850" max="4850" width="10.33203125" style="69" customWidth="1"/>
    <col min="4851" max="4851" width="13.33203125" style="69" customWidth="1"/>
    <col min="4852" max="4852" width="5.5546875" style="69" customWidth="1"/>
    <col min="4853" max="4853" width="6.44140625" style="69" customWidth="1"/>
    <col min="4854" max="4854" width="11.6640625" style="69" customWidth="1"/>
    <col min="4855" max="4855" width="10.44140625" style="69" customWidth="1"/>
    <col min="4856" max="4856" width="13.44140625" style="69" customWidth="1"/>
    <col min="4857" max="5102" width="7" style="69"/>
    <col min="5103" max="5103" width="4.109375" style="69" customWidth="1"/>
    <col min="5104" max="5104" width="3.6640625" style="69" customWidth="1"/>
    <col min="5105" max="5105" width="4.88671875" style="69" customWidth="1"/>
    <col min="5106" max="5106" width="10.33203125" style="69" customWidth="1"/>
    <col min="5107" max="5107" width="13.33203125" style="69" customWidth="1"/>
    <col min="5108" max="5108" width="5.5546875" style="69" customWidth="1"/>
    <col min="5109" max="5109" width="6.44140625" style="69" customWidth="1"/>
    <col min="5110" max="5110" width="11.6640625" style="69" customWidth="1"/>
    <col min="5111" max="5111" width="10.44140625" style="69" customWidth="1"/>
    <col min="5112" max="5112" width="13.44140625" style="69" customWidth="1"/>
    <col min="5113" max="5358" width="7" style="69"/>
    <col min="5359" max="5359" width="4.109375" style="69" customWidth="1"/>
    <col min="5360" max="5360" width="3.6640625" style="69" customWidth="1"/>
    <col min="5361" max="5361" width="4.88671875" style="69" customWidth="1"/>
    <col min="5362" max="5362" width="10.33203125" style="69" customWidth="1"/>
    <col min="5363" max="5363" width="13.33203125" style="69" customWidth="1"/>
    <col min="5364" max="5364" width="5.5546875" style="69" customWidth="1"/>
    <col min="5365" max="5365" width="6.44140625" style="69" customWidth="1"/>
    <col min="5366" max="5366" width="11.6640625" style="69" customWidth="1"/>
    <col min="5367" max="5367" width="10.44140625" style="69" customWidth="1"/>
    <col min="5368" max="5368" width="13.44140625" style="69" customWidth="1"/>
    <col min="5369" max="5614" width="7" style="69"/>
    <col min="5615" max="5615" width="4.109375" style="69" customWidth="1"/>
    <col min="5616" max="5616" width="3.6640625" style="69" customWidth="1"/>
    <col min="5617" max="5617" width="4.88671875" style="69" customWidth="1"/>
    <col min="5618" max="5618" width="10.33203125" style="69" customWidth="1"/>
    <col min="5619" max="5619" width="13.33203125" style="69" customWidth="1"/>
    <col min="5620" max="5620" width="5.5546875" style="69" customWidth="1"/>
    <col min="5621" max="5621" width="6.44140625" style="69" customWidth="1"/>
    <col min="5622" max="5622" width="11.6640625" style="69" customWidth="1"/>
    <col min="5623" max="5623" width="10.44140625" style="69" customWidth="1"/>
    <col min="5624" max="5624" width="13.44140625" style="69" customWidth="1"/>
    <col min="5625" max="5870" width="7" style="69"/>
    <col min="5871" max="5871" width="4.109375" style="69" customWidth="1"/>
    <col min="5872" max="5872" width="3.6640625" style="69" customWidth="1"/>
    <col min="5873" max="5873" width="4.88671875" style="69" customWidth="1"/>
    <col min="5874" max="5874" width="10.33203125" style="69" customWidth="1"/>
    <col min="5875" max="5875" width="13.33203125" style="69" customWidth="1"/>
    <col min="5876" max="5876" width="5.5546875" style="69" customWidth="1"/>
    <col min="5877" max="5877" width="6.44140625" style="69" customWidth="1"/>
    <col min="5878" max="5878" width="11.6640625" style="69" customWidth="1"/>
    <col min="5879" max="5879" width="10.44140625" style="69" customWidth="1"/>
    <col min="5880" max="5880" width="13.44140625" style="69" customWidth="1"/>
    <col min="5881" max="6126" width="7" style="69"/>
    <col min="6127" max="6127" width="4.109375" style="69" customWidth="1"/>
    <col min="6128" max="6128" width="3.6640625" style="69" customWidth="1"/>
    <col min="6129" max="6129" width="4.88671875" style="69" customWidth="1"/>
    <col min="6130" max="6130" width="10.33203125" style="69" customWidth="1"/>
    <col min="6131" max="6131" width="13.33203125" style="69" customWidth="1"/>
    <col min="6132" max="6132" width="5.5546875" style="69" customWidth="1"/>
    <col min="6133" max="6133" width="6.44140625" style="69" customWidth="1"/>
    <col min="6134" max="6134" width="11.6640625" style="69" customWidth="1"/>
    <col min="6135" max="6135" width="10.44140625" style="69" customWidth="1"/>
    <col min="6136" max="6136" width="13.44140625" style="69" customWidth="1"/>
    <col min="6137" max="6382" width="7" style="69"/>
    <col min="6383" max="6383" width="4.109375" style="69" customWidth="1"/>
    <col min="6384" max="6384" width="3.6640625" style="69" customWidth="1"/>
    <col min="6385" max="6385" width="4.88671875" style="69" customWidth="1"/>
    <col min="6386" max="6386" width="10.33203125" style="69" customWidth="1"/>
    <col min="6387" max="6387" width="13.33203125" style="69" customWidth="1"/>
    <col min="6388" max="6388" width="5.5546875" style="69" customWidth="1"/>
    <col min="6389" max="6389" width="6.44140625" style="69" customWidth="1"/>
    <col min="6390" max="6390" width="11.6640625" style="69" customWidth="1"/>
    <col min="6391" max="6391" width="10.44140625" style="69" customWidth="1"/>
    <col min="6392" max="6392" width="13.44140625" style="69" customWidth="1"/>
    <col min="6393" max="6638" width="7" style="69"/>
    <col min="6639" max="6639" width="4.109375" style="69" customWidth="1"/>
    <col min="6640" max="6640" width="3.6640625" style="69" customWidth="1"/>
    <col min="6641" max="6641" width="4.88671875" style="69" customWidth="1"/>
    <col min="6642" max="6642" width="10.33203125" style="69" customWidth="1"/>
    <col min="6643" max="6643" width="13.33203125" style="69" customWidth="1"/>
    <col min="6644" max="6644" width="5.5546875" style="69" customWidth="1"/>
    <col min="6645" max="6645" width="6.44140625" style="69" customWidth="1"/>
    <col min="6646" max="6646" width="11.6640625" style="69" customWidth="1"/>
    <col min="6647" max="6647" width="10.44140625" style="69" customWidth="1"/>
    <col min="6648" max="6648" width="13.44140625" style="69" customWidth="1"/>
    <col min="6649" max="6894" width="7" style="69"/>
    <col min="6895" max="6895" width="4.109375" style="69" customWidth="1"/>
    <col min="6896" max="6896" width="3.6640625" style="69" customWidth="1"/>
    <col min="6897" max="6897" width="4.88671875" style="69" customWidth="1"/>
    <col min="6898" max="6898" width="10.33203125" style="69" customWidth="1"/>
    <col min="6899" max="6899" width="13.33203125" style="69" customWidth="1"/>
    <col min="6900" max="6900" width="5.5546875" style="69" customWidth="1"/>
    <col min="6901" max="6901" width="6.44140625" style="69" customWidth="1"/>
    <col min="6902" max="6902" width="11.6640625" style="69" customWidth="1"/>
    <col min="6903" max="6903" width="10.44140625" style="69" customWidth="1"/>
    <col min="6904" max="6904" width="13.44140625" style="69" customWidth="1"/>
    <col min="6905" max="7150" width="7" style="69"/>
    <col min="7151" max="7151" width="4.109375" style="69" customWidth="1"/>
    <col min="7152" max="7152" width="3.6640625" style="69" customWidth="1"/>
    <col min="7153" max="7153" width="4.88671875" style="69" customWidth="1"/>
    <col min="7154" max="7154" width="10.33203125" style="69" customWidth="1"/>
    <col min="7155" max="7155" width="13.33203125" style="69" customWidth="1"/>
    <col min="7156" max="7156" width="5.5546875" style="69" customWidth="1"/>
    <col min="7157" max="7157" width="6.44140625" style="69" customWidth="1"/>
    <col min="7158" max="7158" width="11.6640625" style="69" customWidth="1"/>
    <col min="7159" max="7159" width="10.44140625" style="69" customWidth="1"/>
    <col min="7160" max="7160" width="13.44140625" style="69" customWidth="1"/>
    <col min="7161" max="7406" width="7" style="69"/>
    <col min="7407" max="7407" width="4.109375" style="69" customWidth="1"/>
    <col min="7408" max="7408" width="3.6640625" style="69" customWidth="1"/>
    <col min="7409" max="7409" width="4.88671875" style="69" customWidth="1"/>
    <col min="7410" max="7410" width="10.33203125" style="69" customWidth="1"/>
    <col min="7411" max="7411" width="13.33203125" style="69" customWidth="1"/>
    <col min="7412" max="7412" width="5.5546875" style="69" customWidth="1"/>
    <col min="7413" max="7413" width="6.44140625" style="69" customWidth="1"/>
    <col min="7414" max="7414" width="11.6640625" style="69" customWidth="1"/>
    <col min="7415" max="7415" width="10.44140625" style="69" customWidth="1"/>
    <col min="7416" max="7416" width="13.44140625" style="69" customWidth="1"/>
    <col min="7417" max="7662" width="7" style="69"/>
    <col min="7663" max="7663" width="4.109375" style="69" customWidth="1"/>
    <col min="7664" max="7664" width="3.6640625" style="69" customWidth="1"/>
    <col min="7665" max="7665" width="4.88671875" style="69" customWidth="1"/>
    <col min="7666" max="7666" width="10.33203125" style="69" customWidth="1"/>
    <col min="7667" max="7667" width="13.33203125" style="69" customWidth="1"/>
    <col min="7668" max="7668" width="5.5546875" style="69" customWidth="1"/>
    <col min="7669" max="7669" width="6.44140625" style="69" customWidth="1"/>
    <col min="7670" max="7670" width="11.6640625" style="69" customWidth="1"/>
    <col min="7671" max="7671" width="10.44140625" style="69" customWidth="1"/>
    <col min="7672" max="7672" width="13.44140625" style="69" customWidth="1"/>
    <col min="7673" max="7918" width="7" style="69"/>
    <col min="7919" max="7919" width="4.109375" style="69" customWidth="1"/>
    <col min="7920" max="7920" width="3.6640625" style="69" customWidth="1"/>
    <col min="7921" max="7921" width="4.88671875" style="69" customWidth="1"/>
    <col min="7922" max="7922" width="10.33203125" style="69" customWidth="1"/>
    <col min="7923" max="7923" width="13.33203125" style="69" customWidth="1"/>
    <col min="7924" max="7924" width="5.5546875" style="69" customWidth="1"/>
    <col min="7925" max="7925" width="6.44140625" style="69" customWidth="1"/>
    <col min="7926" max="7926" width="11.6640625" style="69" customWidth="1"/>
    <col min="7927" max="7927" width="10.44140625" style="69" customWidth="1"/>
    <col min="7928" max="7928" width="13.44140625" style="69" customWidth="1"/>
    <col min="7929" max="8174" width="7" style="69"/>
    <col min="8175" max="8175" width="4.109375" style="69" customWidth="1"/>
    <col min="8176" max="8176" width="3.6640625" style="69" customWidth="1"/>
    <col min="8177" max="8177" width="4.88671875" style="69" customWidth="1"/>
    <col min="8178" max="8178" width="10.33203125" style="69" customWidth="1"/>
    <col min="8179" max="8179" width="13.33203125" style="69" customWidth="1"/>
    <col min="8180" max="8180" width="5.5546875" style="69" customWidth="1"/>
    <col min="8181" max="8181" width="6.44140625" style="69" customWidth="1"/>
    <col min="8182" max="8182" width="11.6640625" style="69" customWidth="1"/>
    <col min="8183" max="8183" width="10.44140625" style="69" customWidth="1"/>
    <col min="8184" max="8184" width="13.44140625" style="69" customWidth="1"/>
    <col min="8185" max="8430" width="7" style="69"/>
    <col min="8431" max="8431" width="4.109375" style="69" customWidth="1"/>
    <col min="8432" max="8432" width="3.6640625" style="69" customWidth="1"/>
    <col min="8433" max="8433" width="4.88671875" style="69" customWidth="1"/>
    <col min="8434" max="8434" width="10.33203125" style="69" customWidth="1"/>
    <col min="8435" max="8435" width="13.33203125" style="69" customWidth="1"/>
    <col min="8436" max="8436" width="5.5546875" style="69" customWidth="1"/>
    <col min="8437" max="8437" width="6.44140625" style="69" customWidth="1"/>
    <col min="8438" max="8438" width="11.6640625" style="69" customWidth="1"/>
    <col min="8439" max="8439" width="10.44140625" style="69" customWidth="1"/>
    <col min="8440" max="8440" width="13.44140625" style="69" customWidth="1"/>
    <col min="8441" max="8686" width="7" style="69"/>
    <col min="8687" max="8687" width="4.109375" style="69" customWidth="1"/>
    <col min="8688" max="8688" width="3.6640625" style="69" customWidth="1"/>
    <col min="8689" max="8689" width="4.88671875" style="69" customWidth="1"/>
    <col min="8690" max="8690" width="10.33203125" style="69" customWidth="1"/>
    <col min="8691" max="8691" width="13.33203125" style="69" customWidth="1"/>
    <col min="8692" max="8692" width="5.5546875" style="69" customWidth="1"/>
    <col min="8693" max="8693" width="6.44140625" style="69" customWidth="1"/>
    <col min="8694" max="8694" width="11.6640625" style="69" customWidth="1"/>
    <col min="8695" max="8695" width="10.44140625" style="69" customWidth="1"/>
    <col min="8696" max="8696" width="13.44140625" style="69" customWidth="1"/>
    <col min="8697" max="8942" width="7" style="69"/>
    <col min="8943" max="8943" width="4.109375" style="69" customWidth="1"/>
    <col min="8944" max="8944" width="3.6640625" style="69" customWidth="1"/>
    <col min="8945" max="8945" width="4.88671875" style="69" customWidth="1"/>
    <col min="8946" max="8946" width="10.33203125" style="69" customWidth="1"/>
    <col min="8947" max="8947" width="13.33203125" style="69" customWidth="1"/>
    <col min="8948" max="8948" width="5.5546875" style="69" customWidth="1"/>
    <col min="8949" max="8949" width="6.44140625" style="69" customWidth="1"/>
    <col min="8950" max="8950" width="11.6640625" style="69" customWidth="1"/>
    <col min="8951" max="8951" width="10.44140625" style="69" customWidth="1"/>
    <col min="8952" max="8952" width="13.44140625" style="69" customWidth="1"/>
    <col min="8953" max="9198" width="7" style="69"/>
    <col min="9199" max="9199" width="4.109375" style="69" customWidth="1"/>
    <col min="9200" max="9200" width="3.6640625" style="69" customWidth="1"/>
    <col min="9201" max="9201" width="4.88671875" style="69" customWidth="1"/>
    <col min="9202" max="9202" width="10.33203125" style="69" customWidth="1"/>
    <col min="9203" max="9203" width="13.33203125" style="69" customWidth="1"/>
    <col min="9204" max="9204" width="5.5546875" style="69" customWidth="1"/>
    <col min="9205" max="9205" width="6.44140625" style="69" customWidth="1"/>
    <col min="9206" max="9206" width="11.6640625" style="69" customWidth="1"/>
    <col min="9207" max="9207" width="10.44140625" style="69" customWidth="1"/>
    <col min="9208" max="9208" width="13.44140625" style="69" customWidth="1"/>
    <col min="9209" max="9454" width="7" style="69"/>
    <col min="9455" max="9455" width="4.109375" style="69" customWidth="1"/>
    <col min="9456" max="9456" width="3.6640625" style="69" customWidth="1"/>
    <col min="9457" max="9457" width="4.88671875" style="69" customWidth="1"/>
    <col min="9458" max="9458" width="10.33203125" style="69" customWidth="1"/>
    <col min="9459" max="9459" width="13.33203125" style="69" customWidth="1"/>
    <col min="9460" max="9460" width="5.5546875" style="69" customWidth="1"/>
    <col min="9461" max="9461" width="6.44140625" style="69" customWidth="1"/>
    <col min="9462" max="9462" width="11.6640625" style="69" customWidth="1"/>
    <col min="9463" max="9463" width="10.44140625" style="69" customWidth="1"/>
    <col min="9464" max="9464" width="13.44140625" style="69" customWidth="1"/>
    <col min="9465" max="9710" width="7" style="69"/>
    <col min="9711" max="9711" width="4.109375" style="69" customWidth="1"/>
    <col min="9712" max="9712" width="3.6640625" style="69" customWidth="1"/>
    <col min="9713" max="9713" width="4.88671875" style="69" customWidth="1"/>
    <col min="9714" max="9714" width="10.33203125" style="69" customWidth="1"/>
    <col min="9715" max="9715" width="13.33203125" style="69" customWidth="1"/>
    <col min="9716" max="9716" width="5.5546875" style="69" customWidth="1"/>
    <col min="9717" max="9717" width="6.44140625" style="69" customWidth="1"/>
    <col min="9718" max="9718" width="11.6640625" style="69" customWidth="1"/>
    <col min="9719" max="9719" width="10.44140625" style="69" customWidth="1"/>
    <col min="9720" max="9720" width="13.44140625" style="69" customWidth="1"/>
    <col min="9721" max="9966" width="7" style="69"/>
    <col min="9967" max="9967" width="4.109375" style="69" customWidth="1"/>
    <col min="9968" max="9968" width="3.6640625" style="69" customWidth="1"/>
    <col min="9969" max="9969" width="4.88671875" style="69" customWidth="1"/>
    <col min="9970" max="9970" width="10.33203125" style="69" customWidth="1"/>
    <col min="9971" max="9971" width="13.33203125" style="69" customWidth="1"/>
    <col min="9972" max="9972" width="5.5546875" style="69" customWidth="1"/>
    <col min="9973" max="9973" width="6.44140625" style="69" customWidth="1"/>
    <col min="9974" max="9974" width="11.6640625" style="69" customWidth="1"/>
    <col min="9975" max="9975" width="10.44140625" style="69" customWidth="1"/>
    <col min="9976" max="9976" width="13.44140625" style="69" customWidth="1"/>
    <col min="9977" max="10222" width="7" style="69"/>
    <col min="10223" max="10223" width="4.109375" style="69" customWidth="1"/>
    <col min="10224" max="10224" width="3.6640625" style="69" customWidth="1"/>
    <col min="10225" max="10225" width="4.88671875" style="69" customWidth="1"/>
    <col min="10226" max="10226" width="10.33203125" style="69" customWidth="1"/>
    <col min="10227" max="10227" width="13.33203125" style="69" customWidth="1"/>
    <col min="10228" max="10228" width="5.5546875" style="69" customWidth="1"/>
    <col min="10229" max="10229" width="6.44140625" style="69" customWidth="1"/>
    <col min="10230" max="10230" width="11.6640625" style="69" customWidth="1"/>
    <col min="10231" max="10231" width="10.44140625" style="69" customWidth="1"/>
    <col min="10232" max="10232" width="13.44140625" style="69" customWidth="1"/>
    <col min="10233" max="10478" width="7" style="69"/>
    <col min="10479" max="10479" width="4.109375" style="69" customWidth="1"/>
    <col min="10480" max="10480" width="3.6640625" style="69" customWidth="1"/>
    <col min="10481" max="10481" width="4.88671875" style="69" customWidth="1"/>
    <col min="10482" max="10482" width="10.33203125" style="69" customWidth="1"/>
    <col min="10483" max="10483" width="13.33203125" style="69" customWidth="1"/>
    <col min="10484" max="10484" width="5.5546875" style="69" customWidth="1"/>
    <col min="10485" max="10485" width="6.44140625" style="69" customWidth="1"/>
    <col min="10486" max="10486" width="11.6640625" style="69" customWidth="1"/>
    <col min="10487" max="10487" width="10.44140625" style="69" customWidth="1"/>
    <col min="10488" max="10488" width="13.44140625" style="69" customWidth="1"/>
    <col min="10489" max="10734" width="7" style="69"/>
    <col min="10735" max="10735" width="4.109375" style="69" customWidth="1"/>
    <col min="10736" max="10736" width="3.6640625" style="69" customWidth="1"/>
    <col min="10737" max="10737" width="4.88671875" style="69" customWidth="1"/>
    <col min="10738" max="10738" width="10.33203125" style="69" customWidth="1"/>
    <col min="10739" max="10739" width="13.33203125" style="69" customWidth="1"/>
    <col min="10740" max="10740" width="5.5546875" style="69" customWidth="1"/>
    <col min="10741" max="10741" width="6.44140625" style="69" customWidth="1"/>
    <col min="10742" max="10742" width="11.6640625" style="69" customWidth="1"/>
    <col min="10743" max="10743" width="10.44140625" style="69" customWidth="1"/>
    <col min="10744" max="10744" width="13.44140625" style="69" customWidth="1"/>
    <col min="10745" max="10990" width="7" style="69"/>
    <col min="10991" max="10991" width="4.109375" style="69" customWidth="1"/>
    <col min="10992" max="10992" width="3.6640625" style="69" customWidth="1"/>
    <col min="10993" max="10993" width="4.88671875" style="69" customWidth="1"/>
    <col min="10994" max="10994" width="10.33203125" style="69" customWidth="1"/>
    <col min="10995" max="10995" width="13.33203125" style="69" customWidth="1"/>
    <col min="10996" max="10996" width="5.5546875" style="69" customWidth="1"/>
    <col min="10997" max="10997" width="6.44140625" style="69" customWidth="1"/>
    <col min="10998" max="10998" width="11.6640625" style="69" customWidth="1"/>
    <col min="10999" max="10999" width="10.44140625" style="69" customWidth="1"/>
    <col min="11000" max="11000" width="13.44140625" style="69" customWidth="1"/>
    <col min="11001" max="11246" width="7" style="69"/>
    <col min="11247" max="11247" width="4.109375" style="69" customWidth="1"/>
    <col min="11248" max="11248" width="3.6640625" style="69" customWidth="1"/>
    <col min="11249" max="11249" width="4.88671875" style="69" customWidth="1"/>
    <col min="11250" max="11250" width="10.33203125" style="69" customWidth="1"/>
    <col min="11251" max="11251" width="13.33203125" style="69" customWidth="1"/>
    <col min="11252" max="11252" width="5.5546875" style="69" customWidth="1"/>
    <col min="11253" max="11253" width="6.44140625" style="69" customWidth="1"/>
    <col min="11254" max="11254" width="11.6640625" style="69" customWidth="1"/>
    <col min="11255" max="11255" width="10.44140625" style="69" customWidth="1"/>
    <col min="11256" max="11256" width="13.44140625" style="69" customWidth="1"/>
    <col min="11257" max="11502" width="7" style="69"/>
    <col min="11503" max="11503" width="4.109375" style="69" customWidth="1"/>
    <col min="11504" max="11504" width="3.6640625" style="69" customWidth="1"/>
    <col min="11505" max="11505" width="4.88671875" style="69" customWidth="1"/>
    <col min="11506" max="11506" width="10.33203125" style="69" customWidth="1"/>
    <col min="11507" max="11507" width="13.33203125" style="69" customWidth="1"/>
    <col min="11508" max="11508" width="5.5546875" style="69" customWidth="1"/>
    <col min="11509" max="11509" width="6.44140625" style="69" customWidth="1"/>
    <col min="11510" max="11510" width="11.6640625" style="69" customWidth="1"/>
    <col min="11511" max="11511" width="10.44140625" style="69" customWidth="1"/>
    <col min="11512" max="11512" width="13.44140625" style="69" customWidth="1"/>
    <col min="11513" max="11758" width="7" style="69"/>
    <col min="11759" max="11759" width="4.109375" style="69" customWidth="1"/>
    <col min="11760" max="11760" width="3.6640625" style="69" customWidth="1"/>
    <col min="11761" max="11761" width="4.88671875" style="69" customWidth="1"/>
    <col min="11762" max="11762" width="10.33203125" style="69" customWidth="1"/>
    <col min="11763" max="11763" width="13.33203125" style="69" customWidth="1"/>
    <col min="11764" max="11764" width="5.5546875" style="69" customWidth="1"/>
    <col min="11765" max="11765" width="6.44140625" style="69" customWidth="1"/>
    <col min="11766" max="11766" width="11.6640625" style="69" customWidth="1"/>
    <col min="11767" max="11767" width="10.44140625" style="69" customWidth="1"/>
    <col min="11768" max="11768" width="13.44140625" style="69" customWidth="1"/>
    <col min="11769" max="12014" width="7" style="69"/>
    <col min="12015" max="12015" width="4.109375" style="69" customWidth="1"/>
    <col min="12016" max="12016" width="3.6640625" style="69" customWidth="1"/>
    <col min="12017" max="12017" width="4.88671875" style="69" customWidth="1"/>
    <col min="12018" max="12018" width="10.33203125" style="69" customWidth="1"/>
    <col min="12019" max="12019" width="13.33203125" style="69" customWidth="1"/>
    <col min="12020" max="12020" width="5.5546875" style="69" customWidth="1"/>
    <col min="12021" max="12021" width="6.44140625" style="69" customWidth="1"/>
    <col min="12022" max="12022" width="11.6640625" style="69" customWidth="1"/>
    <col min="12023" max="12023" width="10.44140625" style="69" customWidth="1"/>
    <col min="12024" max="12024" width="13.44140625" style="69" customWidth="1"/>
    <col min="12025" max="12270" width="7" style="69"/>
    <col min="12271" max="12271" width="4.109375" style="69" customWidth="1"/>
    <col min="12272" max="12272" width="3.6640625" style="69" customWidth="1"/>
    <col min="12273" max="12273" width="4.88671875" style="69" customWidth="1"/>
    <col min="12274" max="12274" width="10.33203125" style="69" customWidth="1"/>
    <col min="12275" max="12275" width="13.33203125" style="69" customWidth="1"/>
    <col min="12276" max="12276" width="5.5546875" style="69" customWidth="1"/>
    <col min="12277" max="12277" width="6.44140625" style="69" customWidth="1"/>
    <col min="12278" max="12278" width="11.6640625" style="69" customWidth="1"/>
    <col min="12279" max="12279" width="10.44140625" style="69" customWidth="1"/>
    <col min="12280" max="12280" width="13.44140625" style="69" customWidth="1"/>
    <col min="12281" max="12526" width="7" style="69"/>
    <col min="12527" max="12527" width="4.109375" style="69" customWidth="1"/>
    <col min="12528" max="12528" width="3.6640625" style="69" customWidth="1"/>
    <col min="12529" max="12529" width="4.88671875" style="69" customWidth="1"/>
    <col min="12530" max="12530" width="10.33203125" style="69" customWidth="1"/>
    <col min="12531" max="12531" width="13.33203125" style="69" customWidth="1"/>
    <col min="12532" max="12532" width="5.5546875" style="69" customWidth="1"/>
    <col min="12533" max="12533" width="6.44140625" style="69" customWidth="1"/>
    <col min="12534" max="12534" width="11.6640625" style="69" customWidth="1"/>
    <col min="12535" max="12535" width="10.44140625" style="69" customWidth="1"/>
    <col min="12536" max="12536" width="13.44140625" style="69" customWidth="1"/>
    <col min="12537" max="12782" width="7" style="69"/>
    <col min="12783" max="12783" width="4.109375" style="69" customWidth="1"/>
    <col min="12784" max="12784" width="3.6640625" style="69" customWidth="1"/>
    <col min="12785" max="12785" width="4.88671875" style="69" customWidth="1"/>
    <col min="12786" max="12786" width="10.33203125" style="69" customWidth="1"/>
    <col min="12787" max="12787" width="13.33203125" style="69" customWidth="1"/>
    <col min="12788" max="12788" width="5.5546875" style="69" customWidth="1"/>
    <col min="12789" max="12789" width="6.44140625" style="69" customWidth="1"/>
    <col min="12790" max="12790" width="11.6640625" style="69" customWidth="1"/>
    <col min="12791" max="12791" width="10.44140625" style="69" customWidth="1"/>
    <col min="12792" max="12792" width="13.44140625" style="69" customWidth="1"/>
    <col min="12793" max="13038" width="7" style="69"/>
    <col min="13039" max="13039" width="4.109375" style="69" customWidth="1"/>
    <col min="13040" max="13040" width="3.6640625" style="69" customWidth="1"/>
    <col min="13041" max="13041" width="4.88671875" style="69" customWidth="1"/>
    <col min="13042" max="13042" width="10.33203125" style="69" customWidth="1"/>
    <col min="13043" max="13043" width="13.33203125" style="69" customWidth="1"/>
    <col min="13044" max="13044" width="5.5546875" style="69" customWidth="1"/>
    <col min="13045" max="13045" width="6.44140625" style="69" customWidth="1"/>
    <col min="13046" max="13046" width="11.6640625" style="69" customWidth="1"/>
    <col min="13047" max="13047" width="10.44140625" style="69" customWidth="1"/>
    <col min="13048" max="13048" width="13.44140625" style="69" customWidth="1"/>
    <col min="13049" max="13294" width="7" style="69"/>
    <col min="13295" max="13295" width="4.109375" style="69" customWidth="1"/>
    <col min="13296" max="13296" width="3.6640625" style="69" customWidth="1"/>
    <col min="13297" max="13297" width="4.88671875" style="69" customWidth="1"/>
    <col min="13298" max="13298" width="10.33203125" style="69" customWidth="1"/>
    <col min="13299" max="13299" width="13.33203125" style="69" customWidth="1"/>
    <col min="13300" max="13300" width="5.5546875" style="69" customWidth="1"/>
    <col min="13301" max="13301" width="6.44140625" style="69" customWidth="1"/>
    <col min="13302" max="13302" width="11.6640625" style="69" customWidth="1"/>
    <col min="13303" max="13303" width="10.44140625" style="69" customWidth="1"/>
    <col min="13304" max="13304" width="13.44140625" style="69" customWidth="1"/>
    <col min="13305" max="13550" width="7" style="69"/>
    <col min="13551" max="13551" width="4.109375" style="69" customWidth="1"/>
    <col min="13552" max="13552" width="3.6640625" style="69" customWidth="1"/>
    <col min="13553" max="13553" width="4.88671875" style="69" customWidth="1"/>
    <col min="13554" max="13554" width="10.33203125" style="69" customWidth="1"/>
    <col min="13555" max="13555" width="13.33203125" style="69" customWidth="1"/>
    <col min="13556" max="13556" width="5.5546875" style="69" customWidth="1"/>
    <col min="13557" max="13557" width="6.44140625" style="69" customWidth="1"/>
    <col min="13558" max="13558" width="11.6640625" style="69" customWidth="1"/>
    <col min="13559" max="13559" width="10.44140625" style="69" customWidth="1"/>
    <col min="13560" max="13560" width="13.44140625" style="69" customWidth="1"/>
    <col min="13561" max="13806" width="7" style="69"/>
    <col min="13807" max="13807" width="4.109375" style="69" customWidth="1"/>
    <col min="13808" max="13808" width="3.6640625" style="69" customWidth="1"/>
    <col min="13809" max="13809" width="4.88671875" style="69" customWidth="1"/>
    <col min="13810" max="13810" width="10.33203125" style="69" customWidth="1"/>
    <col min="13811" max="13811" width="13.33203125" style="69" customWidth="1"/>
    <col min="13812" max="13812" width="5.5546875" style="69" customWidth="1"/>
    <col min="13813" max="13813" width="6.44140625" style="69" customWidth="1"/>
    <col min="13814" max="13814" width="11.6640625" style="69" customWidth="1"/>
    <col min="13815" max="13815" width="10.44140625" style="69" customWidth="1"/>
    <col min="13816" max="13816" width="13.44140625" style="69" customWidth="1"/>
    <col min="13817" max="14062" width="7" style="69"/>
    <col min="14063" max="14063" width="4.109375" style="69" customWidth="1"/>
    <col min="14064" max="14064" width="3.6640625" style="69" customWidth="1"/>
    <col min="14065" max="14065" width="4.88671875" style="69" customWidth="1"/>
    <col min="14066" max="14066" width="10.33203125" style="69" customWidth="1"/>
    <col min="14067" max="14067" width="13.33203125" style="69" customWidth="1"/>
    <col min="14068" max="14068" width="5.5546875" style="69" customWidth="1"/>
    <col min="14069" max="14069" width="6.44140625" style="69" customWidth="1"/>
    <col min="14070" max="14070" width="11.6640625" style="69" customWidth="1"/>
    <col min="14071" max="14071" width="10.44140625" style="69" customWidth="1"/>
    <col min="14072" max="14072" width="13.44140625" style="69" customWidth="1"/>
    <col min="14073" max="14318" width="7" style="69"/>
    <col min="14319" max="14319" width="4.109375" style="69" customWidth="1"/>
    <col min="14320" max="14320" width="3.6640625" style="69" customWidth="1"/>
    <col min="14321" max="14321" width="4.88671875" style="69" customWidth="1"/>
    <col min="14322" max="14322" width="10.33203125" style="69" customWidth="1"/>
    <col min="14323" max="14323" width="13.33203125" style="69" customWidth="1"/>
    <col min="14324" max="14324" width="5.5546875" style="69" customWidth="1"/>
    <col min="14325" max="14325" width="6.44140625" style="69" customWidth="1"/>
    <col min="14326" max="14326" width="11.6640625" style="69" customWidth="1"/>
    <col min="14327" max="14327" width="10.44140625" style="69" customWidth="1"/>
    <col min="14328" max="14328" width="13.44140625" style="69" customWidth="1"/>
    <col min="14329" max="14574" width="7" style="69"/>
    <col min="14575" max="14575" width="4.109375" style="69" customWidth="1"/>
    <col min="14576" max="14576" width="3.6640625" style="69" customWidth="1"/>
    <col min="14577" max="14577" width="4.88671875" style="69" customWidth="1"/>
    <col min="14578" max="14578" width="10.33203125" style="69" customWidth="1"/>
    <col min="14579" max="14579" width="13.33203125" style="69" customWidth="1"/>
    <col min="14580" max="14580" width="5.5546875" style="69" customWidth="1"/>
    <col min="14581" max="14581" width="6.44140625" style="69" customWidth="1"/>
    <col min="14582" max="14582" width="11.6640625" style="69" customWidth="1"/>
    <col min="14583" max="14583" width="10.44140625" style="69" customWidth="1"/>
    <col min="14584" max="14584" width="13.44140625" style="69" customWidth="1"/>
    <col min="14585" max="14830" width="7" style="69"/>
    <col min="14831" max="14831" width="4.109375" style="69" customWidth="1"/>
    <col min="14832" max="14832" width="3.6640625" style="69" customWidth="1"/>
    <col min="14833" max="14833" width="4.88671875" style="69" customWidth="1"/>
    <col min="14834" max="14834" width="10.33203125" style="69" customWidth="1"/>
    <col min="14835" max="14835" width="13.33203125" style="69" customWidth="1"/>
    <col min="14836" max="14836" width="5.5546875" style="69" customWidth="1"/>
    <col min="14837" max="14837" width="6.44140625" style="69" customWidth="1"/>
    <col min="14838" max="14838" width="11.6640625" style="69" customWidth="1"/>
    <col min="14839" max="14839" width="10.44140625" style="69" customWidth="1"/>
    <col min="14840" max="14840" width="13.44140625" style="69" customWidth="1"/>
    <col min="14841" max="15086" width="7" style="69"/>
    <col min="15087" max="15087" width="4.109375" style="69" customWidth="1"/>
    <col min="15088" max="15088" width="3.6640625" style="69" customWidth="1"/>
    <col min="15089" max="15089" width="4.88671875" style="69" customWidth="1"/>
    <col min="15090" max="15090" width="10.33203125" style="69" customWidth="1"/>
    <col min="15091" max="15091" width="13.33203125" style="69" customWidth="1"/>
    <col min="15092" max="15092" width="5.5546875" style="69" customWidth="1"/>
    <col min="15093" max="15093" width="6.44140625" style="69" customWidth="1"/>
    <col min="15094" max="15094" width="11.6640625" style="69" customWidth="1"/>
    <col min="15095" max="15095" width="10.44140625" style="69" customWidth="1"/>
    <col min="15096" max="15096" width="13.44140625" style="69" customWidth="1"/>
    <col min="15097" max="15342" width="7" style="69"/>
    <col min="15343" max="15343" width="4.109375" style="69" customWidth="1"/>
    <col min="15344" max="15344" width="3.6640625" style="69" customWidth="1"/>
    <col min="15345" max="15345" width="4.88671875" style="69" customWidth="1"/>
    <col min="15346" max="15346" width="10.33203125" style="69" customWidth="1"/>
    <col min="15347" max="15347" width="13.33203125" style="69" customWidth="1"/>
    <col min="15348" max="15348" width="5.5546875" style="69" customWidth="1"/>
    <col min="15349" max="15349" width="6.44140625" style="69" customWidth="1"/>
    <col min="15350" max="15350" width="11.6640625" style="69" customWidth="1"/>
    <col min="15351" max="15351" width="10.44140625" style="69" customWidth="1"/>
    <col min="15352" max="15352" width="13.44140625" style="69" customWidth="1"/>
    <col min="15353" max="15598" width="7" style="69"/>
    <col min="15599" max="15599" width="4.109375" style="69" customWidth="1"/>
    <col min="15600" max="15600" width="3.6640625" style="69" customWidth="1"/>
    <col min="15601" max="15601" width="4.88671875" style="69" customWidth="1"/>
    <col min="15602" max="15602" width="10.33203125" style="69" customWidth="1"/>
    <col min="15603" max="15603" width="13.33203125" style="69" customWidth="1"/>
    <col min="15604" max="15604" width="5.5546875" style="69" customWidth="1"/>
    <col min="15605" max="15605" width="6.44140625" style="69" customWidth="1"/>
    <col min="15606" max="15606" width="11.6640625" style="69" customWidth="1"/>
    <col min="15607" max="15607" width="10.44140625" style="69" customWidth="1"/>
    <col min="15608" max="15608" width="13.44140625" style="69" customWidth="1"/>
    <col min="15609" max="15854" width="7" style="69"/>
    <col min="15855" max="15855" width="4.109375" style="69" customWidth="1"/>
    <col min="15856" max="15856" width="3.6640625" style="69" customWidth="1"/>
    <col min="15857" max="15857" width="4.88671875" style="69" customWidth="1"/>
    <col min="15858" max="15858" width="10.33203125" style="69" customWidth="1"/>
    <col min="15859" max="15859" width="13.33203125" style="69" customWidth="1"/>
    <col min="15860" max="15860" width="5.5546875" style="69" customWidth="1"/>
    <col min="15861" max="15861" width="6.44140625" style="69" customWidth="1"/>
    <col min="15862" max="15862" width="11.6640625" style="69" customWidth="1"/>
    <col min="15863" max="15863" width="10.44140625" style="69" customWidth="1"/>
    <col min="15864" max="15864" width="13.44140625" style="69" customWidth="1"/>
    <col min="15865" max="16110" width="7" style="69"/>
    <col min="16111" max="16111" width="4.109375" style="69" customWidth="1"/>
    <col min="16112" max="16112" width="3.6640625" style="69" customWidth="1"/>
    <col min="16113" max="16113" width="4.88671875" style="69" customWidth="1"/>
    <col min="16114" max="16114" width="10.33203125" style="69" customWidth="1"/>
    <col min="16115" max="16115" width="13.33203125" style="69" customWidth="1"/>
    <col min="16116" max="16116" width="5.5546875" style="69" customWidth="1"/>
    <col min="16117" max="16117" width="6.44140625" style="69" customWidth="1"/>
    <col min="16118" max="16118" width="11.6640625" style="69" customWidth="1"/>
    <col min="16119" max="16119" width="10.44140625" style="69" customWidth="1"/>
    <col min="16120" max="16120" width="13.44140625" style="69" customWidth="1"/>
    <col min="16121" max="16384" width="7" style="69"/>
  </cols>
  <sheetData>
    <row r="1" spans="1:7" x14ac:dyDescent="0.3">
      <c r="A1" s="72" t="s">
        <v>736</v>
      </c>
    </row>
    <row r="2" spans="1:7" x14ac:dyDescent="0.3">
      <c r="A2" s="66" t="s">
        <v>1</v>
      </c>
      <c r="B2" s="66" t="s">
        <v>58</v>
      </c>
      <c r="C2" s="66" t="s">
        <v>54</v>
      </c>
      <c r="D2" s="66" t="s">
        <v>43</v>
      </c>
      <c r="E2" s="67"/>
      <c r="F2" s="68"/>
      <c r="G2" s="68"/>
    </row>
    <row r="3" spans="1:7" x14ac:dyDescent="0.3">
      <c r="A3" s="22" t="s">
        <v>360</v>
      </c>
      <c r="B3" s="22" t="s">
        <v>510</v>
      </c>
      <c r="C3" s="22" t="s">
        <v>597</v>
      </c>
      <c r="D3" s="22" t="s">
        <v>580</v>
      </c>
    </row>
    <row r="4" spans="1:7" x14ac:dyDescent="0.3">
      <c r="A4" s="22" t="s">
        <v>359</v>
      </c>
      <c r="B4" s="22" t="s">
        <v>509</v>
      </c>
      <c r="C4" s="22" t="s">
        <v>596</v>
      </c>
      <c r="D4" s="22" t="s">
        <v>580</v>
      </c>
    </row>
    <row r="5" spans="1:7" x14ac:dyDescent="0.3">
      <c r="A5" s="22" t="s">
        <v>358</v>
      </c>
      <c r="B5" s="22" t="s">
        <v>508</v>
      </c>
      <c r="C5" s="22" t="s">
        <v>595</v>
      </c>
      <c r="D5" s="22" t="s">
        <v>580</v>
      </c>
    </row>
    <row r="6" spans="1:7" x14ac:dyDescent="0.3">
      <c r="A6" s="9" t="s">
        <v>179</v>
      </c>
      <c r="B6" s="22" t="s">
        <v>193</v>
      </c>
      <c r="C6" s="70">
        <v>231200117594</v>
      </c>
      <c r="D6" s="22" t="s">
        <v>194</v>
      </c>
      <c r="E6" s="67"/>
      <c r="F6" s="68"/>
      <c r="G6" s="68"/>
    </row>
    <row r="7" spans="1:7" x14ac:dyDescent="0.3">
      <c r="A7" s="9" t="s">
        <v>180</v>
      </c>
      <c r="B7" s="22" t="s">
        <v>197</v>
      </c>
      <c r="C7" s="70">
        <v>231200117598</v>
      </c>
      <c r="D7" s="22" t="s">
        <v>194</v>
      </c>
      <c r="E7" s="67"/>
      <c r="F7" s="68"/>
      <c r="G7" s="68"/>
    </row>
    <row r="8" spans="1:7" x14ac:dyDescent="0.3">
      <c r="A8" s="9" t="s">
        <v>181</v>
      </c>
      <c r="B8" s="22" t="s">
        <v>199</v>
      </c>
      <c r="C8" s="70">
        <v>231200117599</v>
      </c>
      <c r="D8" s="22" t="s">
        <v>194</v>
      </c>
      <c r="E8" s="67"/>
      <c r="F8" s="68"/>
      <c r="G8" s="68"/>
    </row>
    <row r="9" spans="1:7" x14ac:dyDescent="0.3">
      <c r="A9" s="9" t="s">
        <v>182</v>
      </c>
      <c r="B9" s="22" t="s">
        <v>201</v>
      </c>
      <c r="C9" s="70">
        <v>231200117600</v>
      </c>
      <c r="D9" s="22" t="s">
        <v>194</v>
      </c>
      <c r="E9" s="67"/>
      <c r="F9" s="68"/>
      <c r="G9" s="68"/>
    </row>
    <row r="10" spans="1:7" x14ac:dyDescent="0.3">
      <c r="A10" s="9" t="s">
        <v>183</v>
      </c>
      <c r="B10" s="22" t="s">
        <v>203</v>
      </c>
      <c r="C10" s="70">
        <v>231200117593</v>
      </c>
      <c r="D10" s="22" t="s">
        <v>204</v>
      </c>
      <c r="E10" s="67"/>
      <c r="F10" s="68"/>
      <c r="G10" s="68"/>
    </row>
    <row r="11" spans="1:7" x14ac:dyDescent="0.3">
      <c r="A11" s="9" t="s">
        <v>184</v>
      </c>
      <c r="B11" s="22" t="s">
        <v>206</v>
      </c>
      <c r="C11" s="70">
        <v>231200117595</v>
      </c>
      <c r="D11" s="22" t="s">
        <v>194</v>
      </c>
      <c r="E11" s="67"/>
      <c r="F11" s="68"/>
      <c r="G11" s="68"/>
    </row>
    <row r="12" spans="1:7" x14ac:dyDescent="0.3">
      <c r="A12" s="9" t="s">
        <v>185</v>
      </c>
      <c r="B12" s="22" t="s">
        <v>208</v>
      </c>
      <c r="C12" s="70">
        <v>231200117596</v>
      </c>
      <c r="D12" s="22" t="s">
        <v>204</v>
      </c>
      <c r="E12" s="67"/>
      <c r="F12" s="68"/>
      <c r="G12" s="68"/>
    </row>
    <row r="13" spans="1:7" x14ac:dyDescent="0.3">
      <c r="A13" s="22" t="s">
        <v>286</v>
      </c>
      <c r="B13" s="22" t="s">
        <v>436</v>
      </c>
      <c r="C13" s="22" t="s">
        <v>536</v>
      </c>
      <c r="D13" s="22" t="s">
        <v>540</v>
      </c>
    </row>
    <row r="14" spans="1:7" x14ac:dyDescent="0.3">
      <c r="A14" s="22" t="s">
        <v>287</v>
      </c>
      <c r="B14" s="22" t="s">
        <v>437</v>
      </c>
      <c r="C14" s="22" t="s">
        <v>537</v>
      </c>
      <c r="D14" s="22" t="s">
        <v>540</v>
      </c>
    </row>
    <row r="15" spans="1:7" x14ac:dyDescent="0.3">
      <c r="A15" s="22" t="s">
        <v>288</v>
      </c>
      <c r="B15" s="22" t="s">
        <v>438</v>
      </c>
      <c r="C15" s="22" t="s">
        <v>538</v>
      </c>
      <c r="D15" s="22" t="s">
        <v>540</v>
      </c>
    </row>
    <row r="16" spans="1:7" x14ac:dyDescent="0.3">
      <c r="A16" s="22" t="s">
        <v>289</v>
      </c>
      <c r="B16" s="22" t="s">
        <v>439</v>
      </c>
      <c r="C16" s="22" t="s">
        <v>539</v>
      </c>
      <c r="D16" s="22" t="s">
        <v>540</v>
      </c>
    </row>
    <row r="17" spans="1:9" x14ac:dyDescent="0.3">
      <c r="A17" s="22" t="s">
        <v>610</v>
      </c>
      <c r="B17" s="22" t="s">
        <v>440</v>
      </c>
      <c r="C17" s="22" t="s">
        <v>611</v>
      </c>
      <c r="D17" s="22" t="s">
        <v>540</v>
      </c>
    </row>
    <row r="18" spans="1:9" x14ac:dyDescent="0.3">
      <c r="A18" s="22" t="s">
        <v>291</v>
      </c>
      <c r="B18" s="22" t="s">
        <v>441</v>
      </c>
      <c r="C18" s="22" t="s">
        <v>541</v>
      </c>
      <c r="D18" s="22" t="s">
        <v>540</v>
      </c>
    </row>
    <row r="19" spans="1:9" x14ac:dyDescent="0.3">
      <c r="A19" s="22" t="s">
        <v>292</v>
      </c>
      <c r="B19" s="22" t="s">
        <v>442</v>
      </c>
      <c r="C19" s="22" t="s">
        <v>542</v>
      </c>
      <c r="D19" s="22" t="s">
        <v>546</v>
      </c>
    </row>
    <row r="20" spans="1:9" x14ac:dyDescent="0.3">
      <c r="A20" s="22" t="s">
        <v>293</v>
      </c>
      <c r="B20" s="22" t="s">
        <v>443</v>
      </c>
      <c r="C20" s="22" t="s">
        <v>543</v>
      </c>
      <c r="D20" s="22" t="s">
        <v>546</v>
      </c>
    </row>
    <row r="21" spans="1:9" x14ac:dyDescent="0.3">
      <c r="A21" s="22" t="s">
        <v>294</v>
      </c>
      <c r="B21" s="22" t="s">
        <v>444</v>
      </c>
      <c r="C21" s="22" t="s">
        <v>544</v>
      </c>
      <c r="D21" s="22" t="s">
        <v>546</v>
      </c>
    </row>
    <row r="22" spans="1:9" x14ac:dyDescent="0.3">
      <c r="A22" s="22" t="s">
        <v>295</v>
      </c>
      <c r="B22" s="22" t="s">
        <v>445</v>
      </c>
      <c r="C22" s="22" t="s">
        <v>545</v>
      </c>
      <c r="D22" s="22" t="s">
        <v>546</v>
      </c>
    </row>
    <row r="23" spans="1:9" x14ac:dyDescent="0.3">
      <c r="A23" s="22" t="s">
        <v>622</v>
      </c>
      <c r="B23" s="22" t="s">
        <v>446</v>
      </c>
      <c r="C23" s="22" t="s">
        <v>623</v>
      </c>
      <c r="D23" s="22" t="s">
        <v>546</v>
      </c>
    </row>
    <row r="24" spans="1:9" x14ac:dyDescent="0.3">
      <c r="A24" s="22" t="s">
        <v>297</v>
      </c>
      <c r="B24" s="22" t="s">
        <v>447</v>
      </c>
      <c r="C24" s="22" t="s">
        <v>547</v>
      </c>
      <c r="D24" s="22" t="s">
        <v>546</v>
      </c>
    </row>
    <row r="25" spans="1:9" s="65" customFormat="1" x14ac:dyDescent="0.3">
      <c r="A25" s="22" t="s">
        <v>298</v>
      </c>
      <c r="B25" s="22" t="s">
        <v>448</v>
      </c>
      <c r="C25" s="22" t="s">
        <v>548</v>
      </c>
      <c r="D25" s="22" t="s">
        <v>546</v>
      </c>
      <c r="F25" s="69"/>
      <c r="G25" s="69"/>
      <c r="H25" s="69"/>
      <c r="I25" s="69"/>
    </row>
    <row r="26" spans="1:9" s="65" customFormat="1" x14ac:dyDescent="0.3">
      <c r="A26" s="22" t="s">
        <v>633</v>
      </c>
      <c r="B26" s="22" t="s">
        <v>449</v>
      </c>
      <c r="C26" s="22" t="s">
        <v>624</v>
      </c>
      <c r="D26" s="22" t="s">
        <v>551</v>
      </c>
      <c r="F26" s="69"/>
      <c r="G26" s="69"/>
      <c r="H26" s="69"/>
      <c r="I26" s="69"/>
    </row>
    <row r="27" spans="1:9" s="65" customFormat="1" x14ac:dyDescent="0.3">
      <c r="A27" s="22" t="s">
        <v>634</v>
      </c>
      <c r="B27" s="22" t="s">
        <v>450</v>
      </c>
      <c r="C27" s="22" t="s">
        <v>625</v>
      </c>
      <c r="D27" s="22" t="s">
        <v>551</v>
      </c>
      <c r="F27" s="69"/>
      <c r="G27" s="69"/>
      <c r="H27" s="69"/>
      <c r="I27" s="69"/>
    </row>
    <row r="28" spans="1:9" s="65" customFormat="1" x14ac:dyDescent="0.3">
      <c r="A28" s="22" t="s">
        <v>635</v>
      </c>
      <c r="B28" s="22" t="s">
        <v>451</v>
      </c>
      <c r="C28" s="22" t="s">
        <v>626</v>
      </c>
      <c r="D28" s="22" t="s">
        <v>551</v>
      </c>
      <c r="F28" s="69"/>
      <c r="G28" s="69"/>
      <c r="H28" s="69"/>
      <c r="I28" s="69"/>
    </row>
    <row r="29" spans="1:9" s="65" customFormat="1" x14ac:dyDescent="0.3">
      <c r="A29" s="22" t="s">
        <v>636</v>
      </c>
      <c r="B29" s="22" t="s">
        <v>452</v>
      </c>
      <c r="C29" s="22" t="s">
        <v>627</v>
      </c>
      <c r="D29" s="22" t="s">
        <v>632</v>
      </c>
      <c r="F29" s="69"/>
      <c r="G29" s="69"/>
      <c r="H29" s="69"/>
      <c r="I29" s="69"/>
    </row>
    <row r="30" spans="1:9" s="65" customFormat="1" x14ac:dyDescent="0.3">
      <c r="A30" s="22" t="s">
        <v>637</v>
      </c>
      <c r="B30" s="22" t="s">
        <v>453</v>
      </c>
      <c r="C30" s="22" t="s">
        <v>628</v>
      </c>
      <c r="D30" s="22" t="s">
        <v>632</v>
      </c>
      <c r="F30" s="69"/>
      <c r="G30" s="69"/>
      <c r="H30" s="69"/>
      <c r="I30" s="69"/>
    </row>
    <row r="31" spans="1:9" s="65" customFormat="1" x14ac:dyDescent="0.3">
      <c r="A31" s="22" t="s">
        <v>638</v>
      </c>
      <c r="B31" s="22" t="s">
        <v>454</v>
      </c>
      <c r="C31" s="22" t="s">
        <v>629</v>
      </c>
      <c r="D31" s="22" t="s">
        <v>632</v>
      </c>
      <c r="F31" s="69"/>
      <c r="G31" s="69"/>
      <c r="H31" s="69"/>
      <c r="I31" s="69"/>
    </row>
    <row r="32" spans="1:9" s="65" customFormat="1" x14ac:dyDescent="0.3">
      <c r="A32" s="22" t="s">
        <v>639</v>
      </c>
      <c r="B32" s="22" t="s">
        <v>455</v>
      </c>
      <c r="C32" s="22" t="s">
        <v>630</v>
      </c>
      <c r="D32" s="22" t="s">
        <v>632</v>
      </c>
      <c r="F32" s="69"/>
      <c r="G32" s="69"/>
      <c r="H32" s="69"/>
      <c r="I32" s="69"/>
    </row>
    <row r="33" spans="1:9" s="65" customFormat="1" x14ac:dyDescent="0.3">
      <c r="A33" s="22" t="s">
        <v>640</v>
      </c>
      <c r="B33" s="22" t="s">
        <v>456</v>
      </c>
      <c r="C33" s="22" t="s">
        <v>631</v>
      </c>
      <c r="D33" s="22" t="s">
        <v>632</v>
      </c>
      <c r="F33" s="69"/>
      <c r="G33" s="69"/>
      <c r="H33" s="69"/>
      <c r="I33" s="69"/>
    </row>
    <row r="34" spans="1:9" s="65" customFormat="1" x14ac:dyDescent="0.3">
      <c r="A34" s="22" t="s">
        <v>299</v>
      </c>
      <c r="B34" s="22" t="s">
        <v>457</v>
      </c>
      <c r="C34" s="22" t="s">
        <v>549</v>
      </c>
      <c r="D34" s="22" t="s">
        <v>550</v>
      </c>
      <c r="F34" s="69"/>
      <c r="G34" s="69"/>
      <c r="H34" s="69"/>
      <c r="I34" s="69"/>
    </row>
    <row r="35" spans="1:9" s="65" customFormat="1" x14ac:dyDescent="0.3">
      <c r="A35" s="22" t="s">
        <v>308</v>
      </c>
      <c r="B35" s="22" t="s">
        <v>458</v>
      </c>
      <c r="C35" s="22">
        <v>1421007424</v>
      </c>
      <c r="D35" s="22" t="s">
        <v>551</v>
      </c>
      <c r="F35" s="69"/>
      <c r="G35" s="69"/>
      <c r="H35" s="69"/>
      <c r="I35" s="69"/>
    </row>
    <row r="36" spans="1:9" s="65" customFormat="1" x14ac:dyDescent="0.3">
      <c r="A36" s="22" t="s">
        <v>309</v>
      </c>
      <c r="B36" s="22" t="s">
        <v>459</v>
      </c>
      <c r="C36" s="22" t="s">
        <v>552</v>
      </c>
      <c r="D36" s="22" t="s">
        <v>551</v>
      </c>
      <c r="F36" s="69"/>
      <c r="G36" s="69"/>
      <c r="H36" s="69"/>
      <c r="I36" s="69"/>
    </row>
    <row r="37" spans="1:9" s="65" customFormat="1" x14ac:dyDescent="0.3">
      <c r="A37" s="22" t="s">
        <v>310</v>
      </c>
      <c r="B37" s="22" t="s">
        <v>460</v>
      </c>
      <c r="C37" s="22" t="s">
        <v>553</v>
      </c>
      <c r="D37" s="22" t="s">
        <v>546</v>
      </c>
      <c r="F37" s="69"/>
      <c r="G37" s="69"/>
      <c r="H37" s="69"/>
      <c r="I37" s="69"/>
    </row>
    <row r="38" spans="1:9" s="65" customFormat="1" x14ac:dyDescent="0.3">
      <c r="A38" s="22" t="s">
        <v>621</v>
      </c>
      <c r="B38" s="22" t="s">
        <v>461</v>
      </c>
      <c r="C38" s="22" t="s">
        <v>620</v>
      </c>
      <c r="D38" s="22" t="s">
        <v>546</v>
      </c>
      <c r="F38" s="69"/>
      <c r="G38" s="69"/>
      <c r="H38" s="69"/>
      <c r="I38" s="69"/>
    </row>
    <row r="39" spans="1:9" s="65" customFormat="1" x14ac:dyDescent="0.3">
      <c r="A39" s="22" t="s">
        <v>612</v>
      </c>
      <c r="B39" s="22" t="s">
        <v>462</v>
      </c>
      <c r="C39" s="22" t="s">
        <v>613</v>
      </c>
      <c r="D39" s="22" t="s">
        <v>546</v>
      </c>
      <c r="F39" s="69"/>
      <c r="G39" s="69"/>
      <c r="H39" s="69"/>
      <c r="I39" s="69"/>
    </row>
    <row r="40" spans="1:9" s="65" customFormat="1" x14ac:dyDescent="0.3">
      <c r="A40" s="22" t="s">
        <v>618</v>
      </c>
      <c r="B40" s="22" t="s">
        <v>463</v>
      </c>
      <c r="C40" s="22" t="s">
        <v>619</v>
      </c>
      <c r="D40" s="22" t="s">
        <v>546</v>
      </c>
      <c r="F40" s="69"/>
      <c r="G40" s="69"/>
      <c r="H40" s="69"/>
      <c r="I40" s="69"/>
    </row>
    <row r="41" spans="1:9" s="65" customFormat="1" x14ac:dyDescent="0.3">
      <c r="A41" s="22" t="s">
        <v>616</v>
      </c>
      <c r="B41" s="22" t="s">
        <v>464</v>
      </c>
      <c r="C41" s="22" t="s">
        <v>617</v>
      </c>
      <c r="D41" s="22" t="s">
        <v>546</v>
      </c>
      <c r="F41" s="69"/>
      <c r="G41" s="69"/>
      <c r="H41" s="69"/>
      <c r="I41" s="69"/>
    </row>
    <row r="42" spans="1:9" s="65" customFormat="1" x14ac:dyDescent="0.3">
      <c r="A42" s="22" t="s">
        <v>614</v>
      </c>
      <c r="B42" s="22" t="s">
        <v>465</v>
      </c>
      <c r="C42" s="22" t="s">
        <v>615</v>
      </c>
      <c r="D42" s="22" t="s">
        <v>546</v>
      </c>
      <c r="F42" s="69"/>
      <c r="G42" s="69"/>
      <c r="H42" s="69"/>
      <c r="I42" s="69"/>
    </row>
    <row r="43" spans="1:9" s="65" customFormat="1" x14ac:dyDescent="0.3">
      <c r="A43" s="22" t="s">
        <v>609</v>
      </c>
      <c r="B43" s="22" t="s">
        <v>466</v>
      </c>
      <c r="C43" s="22" t="s">
        <v>603</v>
      </c>
      <c r="D43" s="22" t="s">
        <v>540</v>
      </c>
      <c r="F43" s="69"/>
      <c r="G43" s="69"/>
      <c r="H43" s="69"/>
      <c r="I43" s="69"/>
    </row>
    <row r="44" spans="1:9" s="65" customFormat="1" x14ac:dyDescent="0.3">
      <c r="A44" s="22" t="s">
        <v>608</v>
      </c>
      <c r="B44" s="22" t="s">
        <v>467</v>
      </c>
      <c r="C44" s="22" t="s">
        <v>602</v>
      </c>
      <c r="D44" s="22" t="s">
        <v>540</v>
      </c>
      <c r="F44" s="69"/>
      <c r="G44" s="69"/>
      <c r="H44" s="69"/>
      <c r="I44" s="69"/>
    </row>
    <row r="45" spans="1:9" s="65" customFormat="1" x14ac:dyDescent="0.3">
      <c r="A45" s="22" t="s">
        <v>607</v>
      </c>
      <c r="B45" s="22" t="s">
        <v>468</v>
      </c>
      <c r="C45" s="22" t="s">
        <v>601</v>
      </c>
      <c r="D45" s="22" t="s">
        <v>540</v>
      </c>
      <c r="F45" s="69"/>
      <c r="G45" s="69"/>
      <c r="H45" s="69"/>
      <c r="I45" s="69"/>
    </row>
    <row r="46" spans="1:9" s="65" customFormat="1" x14ac:dyDescent="0.3">
      <c r="A46" s="22" t="s">
        <v>606</v>
      </c>
      <c r="B46" s="22" t="s">
        <v>469</v>
      </c>
      <c r="C46" s="22" t="s">
        <v>600</v>
      </c>
      <c r="D46" s="22" t="s">
        <v>540</v>
      </c>
      <c r="F46" s="69"/>
      <c r="G46" s="69"/>
      <c r="H46" s="69"/>
      <c r="I46" s="69"/>
    </row>
    <row r="47" spans="1:9" s="65" customFormat="1" x14ac:dyDescent="0.3">
      <c r="A47" s="22" t="s">
        <v>605</v>
      </c>
      <c r="B47" s="22" t="s">
        <v>470</v>
      </c>
      <c r="C47" s="22" t="s">
        <v>599</v>
      </c>
      <c r="D47" s="22" t="s">
        <v>540</v>
      </c>
      <c r="F47" s="69"/>
      <c r="G47" s="69"/>
      <c r="H47" s="69"/>
      <c r="I47" s="69"/>
    </row>
    <row r="48" spans="1:9" s="65" customFormat="1" x14ac:dyDescent="0.3">
      <c r="A48" s="22" t="s">
        <v>604</v>
      </c>
      <c r="B48" s="22" t="s">
        <v>471</v>
      </c>
      <c r="C48" s="22" t="s">
        <v>598</v>
      </c>
      <c r="D48" s="22" t="s">
        <v>540</v>
      </c>
      <c r="F48" s="69"/>
      <c r="G48" s="69"/>
      <c r="H48" s="69"/>
      <c r="I48" s="69"/>
    </row>
    <row r="49" spans="1:9" s="65" customFormat="1" x14ac:dyDescent="0.3">
      <c r="A49" s="22" t="s">
        <v>322</v>
      </c>
      <c r="B49" s="22" t="s">
        <v>472</v>
      </c>
      <c r="C49" s="22" t="s">
        <v>554</v>
      </c>
      <c r="D49" s="22" t="s">
        <v>577</v>
      </c>
      <c r="F49" s="69"/>
      <c r="G49" s="69"/>
      <c r="H49" s="69"/>
      <c r="I49" s="69"/>
    </row>
    <row r="50" spans="1:9" s="65" customFormat="1" x14ac:dyDescent="0.3">
      <c r="A50" s="22" t="s">
        <v>323</v>
      </c>
      <c r="B50" s="22" t="s">
        <v>473</v>
      </c>
      <c r="C50" s="22" t="s">
        <v>555</v>
      </c>
      <c r="D50" s="22" t="s">
        <v>577</v>
      </c>
      <c r="F50" s="69"/>
      <c r="G50" s="69"/>
      <c r="H50" s="69"/>
      <c r="I50" s="69"/>
    </row>
    <row r="51" spans="1:9" s="65" customFormat="1" x14ac:dyDescent="0.3">
      <c r="A51" s="22" t="s">
        <v>324</v>
      </c>
      <c r="B51" s="22" t="s">
        <v>474</v>
      </c>
      <c r="C51" s="22" t="s">
        <v>556</v>
      </c>
      <c r="D51" s="22" t="s">
        <v>577</v>
      </c>
      <c r="F51" s="69"/>
      <c r="G51" s="69"/>
      <c r="H51" s="69"/>
      <c r="I51" s="69"/>
    </row>
    <row r="52" spans="1:9" s="65" customFormat="1" x14ac:dyDescent="0.3">
      <c r="A52" s="22" t="s">
        <v>325</v>
      </c>
      <c r="B52" s="22" t="s">
        <v>475</v>
      </c>
      <c r="C52" s="22" t="s">
        <v>557</v>
      </c>
      <c r="D52" s="22" t="s">
        <v>577</v>
      </c>
      <c r="F52" s="69"/>
      <c r="G52" s="69"/>
      <c r="H52" s="69"/>
      <c r="I52" s="69"/>
    </row>
    <row r="53" spans="1:9" s="65" customFormat="1" x14ac:dyDescent="0.3">
      <c r="A53" s="22" t="s">
        <v>326</v>
      </c>
      <c r="B53" s="22" t="s">
        <v>476</v>
      </c>
      <c r="C53" s="22" t="s">
        <v>558</v>
      </c>
      <c r="D53" s="22" t="s">
        <v>577</v>
      </c>
      <c r="F53" s="69"/>
      <c r="G53" s="69"/>
      <c r="H53" s="69"/>
      <c r="I53" s="69"/>
    </row>
    <row r="54" spans="1:9" s="65" customFormat="1" x14ac:dyDescent="0.3">
      <c r="A54" s="22" t="s">
        <v>327</v>
      </c>
      <c r="B54" s="22" t="s">
        <v>477</v>
      </c>
      <c r="C54" s="22" t="s">
        <v>559</v>
      </c>
      <c r="D54" s="22" t="s">
        <v>577</v>
      </c>
      <c r="F54" s="69"/>
      <c r="G54" s="69"/>
      <c r="H54" s="69"/>
      <c r="I54" s="69"/>
    </row>
    <row r="55" spans="1:9" s="65" customFormat="1" x14ac:dyDescent="0.3">
      <c r="A55" s="22" t="s">
        <v>328</v>
      </c>
      <c r="B55" s="22" t="s">
        <v>478</v>
      </c>
      <c r="C55" s="22" t="s">
        <v>560</v>
      </c>
      <c r="D55" s="22" t="s">
        <v>578</v>
      </c>
      <c r="F55" s="69"/>
      <c r="G55" s="69"/>
      <c r="H55" s="69"/>
      <c r="I55" s="69"/>
    </row>
    <row r="56" spans="1:9" s="65" customFormat="1" x14ac:dyDescent="0.3">
      <c r="A56" s="22" t="s">
        <v>329</v>
      </c>
      <c r="B56" s="22" t="s">
        <v>479</v>
      </c>
      <c r="C56" s="22" t="s">
        <v>561</v>
      </c>
      <c r="D56" s="22" t="s">
        <v>578</v>
      </c>
      <c r="F56" s="69"/>
      <c r="G56" s="69"/>
      <c r="H56" s="69"/>
      <c r="I56" s="69"/>
    </row>
    <row r="57" spans="1:9" s="65" customFormat="1" x14ac:dyDescent="0.3">
      <c r="A57" s="22" t="s">
        <v>330</v>
      </c>
      <c r="B57" s="22" t="s">
        <v>480</v>
      </c>
      <c r="C57" s="22" t="s">
        <v>562</v>
      </c>
      <c r="D57" s="22" t="s">
        <v>578</v>
      </c>
      <c r="F57" s="69"/>
      <c r="G57" s="69"/>
      <c r="H57" s="69"/>
      <c r="I57" s="69"/>
    </row>
    <row r="58" spans="1:9" s="65" customFormat="1" x14ac:dyDescent="0.3">
      <c r="A58" s="22" t="s">
        <v>331</v>
      </c>
      <c r="B58" s="22" t="s">
        <v>481</v>
      </c>
      <c r="C58" s="22" t="s">
        <v>563</v>
      </c>
      <c r="D58" s="22" t="s">
        <v>578</v>
      </c>
      <c r="F58" s="69"/>
      <c r="G58" s="69"/>
      <c r="H58" s="69"/>
      <c r="I58" s="69"/>
    </row>
    <row r="59" spans="1:9" s="65" customFormat="1" x14ac:dyDescent="0.3">
      <c r="A59" s="22" t="s">
        <v>332</v>
      </c>
      <c r="B59" s="22" t="s">
        <v>482</v>
      </c>
      <c r="C59" s="22" t="s">
        <v>564</v>
      </c>
      <c r="D59" s="22" t="s">
        <v>578</v>
      </c>
      <c r="F59" s="69"/>
      <c r="G59" s="69"/>
      <c r="H59" s="69"/>
      <c r="I59" s="69"/>
    </row>
    <row r="60" spans="1:9" s="65" customFormat="1" x14ac:dyDescent="0.3">
      <c r="A60" s="22" t="s">
        <v>333</v>
      </c>
      <c r="B60" s="22" t="s">
        <v>483</v>
      </c>
      <c r="C60" s="22">
        <v>1411162670</v>
      </c>
      <c r="D60" s="22" t="s">
        <v>579</v>
      </c>
      <c r="F60" s="69"/>
      <c r="G60" s="69"/>
      <c r="H60" s="69"/>
      <c r="I60" s="69"/>
    </row>
    <row r="61" spans="1:9" s="65" customFormat="1" x14ac:dyDescent="0.3">
      <c r="A61" s="22" t="s">
        <v>334</v>
      </c>
      <c r="B61" s="22" t="s">
        <v>484</v>
      </c>
      <c r="C61" s="22" t="s">
        <v>565</v>
      </c>
      <c r="D61" s="22" t="s">
        <v>580</v>
      </c>
      <c r="F61" s="69"/>
      <c r="G61" s="69"/>
      <c r="H61" s="69"/>
      <c r="I61" s="69"/>
    </row>
    <row r="62" spans="1:9" s="65" customFormat="1" x14ac:dyDescent="0.3">
      <c r="A62" s="22" t="s">
        <v>335</v>
      </c>
      <c r="B62" s="22" t="s">
        <v>485</v>
      </c>
      <c r="C62" s="22" t="s">
        <v>566</v>
      </c>
      <c r="D62" s="22" t="s">
        <v>580</v>
      </c>
      <c r="F62" s="69"/>
      <c r="G62" s="69"/>
      <c r="H62" s="69"/>
      <c r="I62" s="69"/>
    </row>
    <row r="63" spans="1:9" s="65" customFormat="1" x14ac:dyDescent="0.3">
      <c r="A63" s="22" t="s">
        <v>336</v>
      </c>
      <c r="B63" s="22" t="s">
        <v>486</v>
      </c>
      <c r="C63" s="22" t="s">
        <v>567</v>
      </c>
      <c r="D63" s="22" t="s">
        <v>550</v>
      </c>
      <c r="F63" s="69"/>
      <c r="G63" s="69"/>
      <c r="H63" s="69"/>
      <c r="I63" s="69"/>
    </row>
    <row r="64" spans="1:9" s="65" customFormat="1" x14ac:dyDescent="0.3">
      <c r="A64" s="22" t="s">
        <v>337</v>
      </c>
      <c r="B64" s="22" t="s">
        <v>487</v>
      </c>
      <c r="C64" s="22" t="s">
        <v>568</v>
      </c>
      <c r="D64" s="22" t="s">
        <v>581</v>
      </c>
      <c r="F64" s="69"/>
      <c r="G64" s="69"/>
      <c r="H64" s="69"/>
      <c r="I64" s="69"/>
    </row>
    <row r="65" spans="1:9" s="65" customFormat="1" x14ac:dyDescent="0.3">
      <c r="A65" s="22" t="s">
        <v>338</v>
      </c>
      <c r="B65" s="22" t="s">
        <v>488</v>
      </c>
      <c r="C65" s="22" t="s">
        <v>569</v>
      </c>
      <c r="D65" s="22" t="s">
        <v>581</v>
      </c>
      <c r="F65" s="69"/>
      <c r="G65" s="69"/>
      <c r="H65" s="69"/>
      <c r="I65" s="69"/>
    </row>
    <row r="66" spans="1:9" s="65" customFormat="1" x14ac:dyDescent="0.3">
      <c r="A66" s="22" t="s">
        <v>339</v>
      </c>
      <c r="B66" s="22" t="s">
        <v>489</v>
      </c>
      <c r="C66" s="22" t="s">
        <v>570</v>
      </c>
      <c r="D66" s="22" t="s">
        <v>550</v>
      </c>
      <c r="F66" s="69"/>
      <c r="G66" s="69"/>
      <c r="H66" s="69"/>
      <c r="I66" s="69"/>
    </row>
    <row r="67" spans="1:9" s="65" customFormat="1" x14ac:dyDescent="0.3">
      <c r="A67" s="22" t="s">
        <v>340</v>
      </c>
      <c r="B67" s="22" t="s">
        <v>490</v>
      </c>
      <c r="C67" s="22" t="s">
        <v>571</v>
      </c>
      <c r="D67" s="22" t="s">
        <v>550</v>
      </c>
      <c r="F67" s="69"/>
      <c r="G67" s="69"/>
      <c r="H67" s="69"/>
      <c r="I67" s="69"/>
    </row>
    <row r="68" spans="1:9" s="65" customFormat="1" x14ac:dyDescent="0.3">
      <c r="A68" s="22" t="s">
        <v>341</v>
      </c>
      <c r="B68" s="22" t="s">
        <v>491</v>
      </c>
      <c r="C68" s="22" t="s">
        <v>572</v>
      </c>
      <c r="D68" s="22" t="s">
        <v>580</v>
      </c>
      <c r="F68" s="69"/>
      <c r="G68" s="69"/>
      <c r="H68" s="69"/>
      <c r="I68" s="69"/>
    </row>
    <row r="69" spans="1:9" s="65" customFormat="1" x14ac:dyDescent="0.3">
      <c r="A69" s="22" t="s">
        <v>342</v>
      </c>
      <c r="B69" s="22" t="s">
        <v>492</v>
      </c>
      <c r="C69" s="22" t="s">
        <v>573</v>
      </c>
      <c r="D69" s="22" t="s">
        <v>577</v>
      </c>
      <c r="F69" s="69"/>
      <c r="G69" s="69"/>
      <c r="H69" s="69"/>
      <c r="I69" s="69"/>
    </row>
    <row r="70" spans="1:9" s="65" customFormat="1" x14ac:dyDescent="0.3">
      <c r="A70" s="22" t="s">
        <v>343</v>
      </c>
      <c r="B70" s="22" t="s">
        <v>493</v>
      </c>
      <c r="C70" s="22" t="s">
        <v>574</v>
      </c>
      <c r="D70" s="22" t="s">
        <v>577</v>
      </c>
      <c r="F70" s="69"/>
      <c r="G70" s="69"/>
      <c r="H70" s="69"/>
      <c r="I70" s="69"/>
    </row>
    <row r="71" spans="1:9" s="65" customFormat="1" x14ac:dyDescent="0.3">
      <c r="A71" s="22" t="s">
        <v>344</v>
      </c>
      <c r="B71" s="22" t="s">
        <v>494</v>
      </c>
      <c r="C71" s="22" t="s">
        <v>575</v>
      </c>
      <c r="D71" s="22" t="s">
        <v>577</v>
      </c>
      <c r="F71" s="69"/>
      <c r="G71" s="69"/>
      <c r="H71" s="69"/>
      <c r="I71" s="69"/>
    </row>
    <row r="72" spans="1:9" s="65" customFormat="1" x14ac:dyDescent="0.3">
      <c r="A72" s="22" t="s">
        <v>345</v>
      </c>
      <c r="B72" s="22" t="s">
        <v>495</v>
      </c>
      <c r="C72" s="22" t="s">
        <v>576</v>
      </c>
      <c r="D72" s="22" t="s">
        <v>582</v>
      </c>
      <c r="F72" s="69"/>
      <c r="G72" s="69"/>
      <c r="H72" s="69"/>
      <c r="I72" s="69"/>
    </row>
    <row r="73" spans="1:9" s="65" customFormat="1" x14ac:dyDescent="0.3">
      <c r="A73" s="22" t="s">
        <v>346</v>
      </c>
      <c r="B73" s="22" t="s">
        <v>496</v>
      </c>
      <c r="C73" s="22">
        <v>11435114</v>
      </c>
      <c r="D73" s="22" t="s">
        <v>583</v>
      </c>
      <c r="F73" s="69"/>
      <c r="G73" s="69"/>
      <c r="H73" s="69"/>
      <c r="I73" s="69"/>
    </row>
    <row r="74" spans="1:9" s="65" customFormat="1" x14ac:dyDescent="0.3">
      <c r="A74" s="22" t="s">
        <v>347</v>
      </c>
      <c r="B74" s="22" t="s">
        <v>497</v>
      </c>
      <c r="C74" s="22" t="s">
        <v>584</v>
      </c>
      <c r="D74" s="22" t="s">
        <v>583</v>
      </c>
      <c r="F74" s="69"/>
      <c r="G74" s="69"/>
      <c r="H74" s="69"/>
      <c r="I74" s="69"/>
    </row>
    <row r="75" spans="1:9" s="65" customFormat="1" x14ac:dyDescent="0.3">
      <c r="A75" s="22" t="s">
        <v>348</v>
      </c>
      <c r="B75" s="22" t="s">
        <v>498</v>
      </c>
      <c r="C75" s="22" t="s">
        <v>585</v>
      </c>
      <c r="D75" s="22" t="s">
        <v>578</v>
      </c>
      <c r="F75" s="69"/>
      <c r="G75" s="69"/>
      <c r="H75" s="69"/>
      <c r="I75" s="69"/>
    </row>
    <row r="76" spans="1:9" s="65" customFormat="1" x14ac:dyDescent="0.3">
      <c r="A76" s="22" t="s">
        <v>349</v>
      </c>
      <c r="B76" s="22" t="s">
        <v>499</v>
      </c>
      <c r="C76" s="22" t="s">
        <v>586</v>
      </c>
      <c r="D76" s="22" t="s">
        <v>578</v>
      </c>
      <c r="F76" s="69"/>
      <c r="G76" s="69"/>
      <c r="H76" s="69"/>
      <c r="I76" s="69"/>
    </row>
    <row r="77" spans="1:9" s="65" customFormat="1" x14ac:dyDescent="0.3">
      <c r="A77" s="22" t="s">
        <v>350</v>
      </c>
      <c r="B77" s="22" t="s">
        <v>500</v>
      </c>
      <c r="C77" s="22" t="s">
        <v>587</v>
      </c>
      <c r="D77" s="22" t="s">
        <v>578</v>
      </c>
      <c r="F77" s="69"/>
      <c r="G77" s="69"/>
      <c r="H77" s="69"/>
      <c r="I77" s="69"/>
    </row>
    <row r="78" spans="1:9" s="65" customFormat="1" x14ac:dyDescent="0.3">
      <c r="A78" s="22" t="s">
        <v>351</v>
      </c>
      <c r="B78" s="22" t="s">
        <v>501</v>
      </c>
      <c r="C78" s="22" t="s">
        <v>588</v>
      </c>
      <c r="D78" s="22" t="s">
        <v>583</v>
      </c>
      <c r="F78" s="69"/>
      <c r="G78" s="69"/>
      <c r="H78" s="69"/>
      <c r="I78" s="69"/>
    </row>
    <row r="79" spans="1:9" s="65" customFormat="1" x14ac:dyDescent="0.3">
      <c r="A79" s="22" t="s">
        <v>352</v>
      </c>
      <c r="B79" s="22" t="s">
        <v>502</v>
      </c>
      <c r="C79" s="22" t="s">
        <v>589</v>
      </c>
      <c r="D79" s="22" t="s">
        <v>583</v>
      </c>
      <c r="F79" s="69"/>
      <c r="G79" s="69"/>
      <c r="H79" s="69"/>
      <c r="I79" s="69"/>
    </row>
    <row r="80" spans="1:9" s="65" customFormat="1" x14ac:dyDescent="0.3">
      <c r="A80" s="22" t="s">
        <v>353</v>
      </c>
      <c r="B80" s="22" t="s">
        <v>503</v>
      </c>
      <c r="C80" s="22" t="s">
        <v>590</v>
      </c>
      <c r="D80" s="22" t="s">
        <v>583</v>
      </c>
      <c r="F80" s="69"/>
      <c r="G80" s="69"/>
      <c r="H80" s="69"/>
      <c r="I80" s="69"/>
    </row>
    <row r="81" spans="1:9" s="65" customFormat="1" x14ac:dyDescent="0.3">
      <c r="A81" s="22" t="s">
        <v>354</v>
      </c>
      <c r="B81" s="22" t="s">
        <v>504</v>
      </c>
      <c r="C81" s="22" t="s">
        <v>591</v>
      </c>
      <c r="D81" s="22" t="s">
        <v>580</v>
      </c>
      <c r="F81" s="69"/>
      <c r="G81" s="69"/>
      <c r="H81" s="69"/>
      <c r="I81" s="69"/>
    </row>
    <row r="82" spans="1:9" s="65" customFormat="1" x14ac:dyDescent="0.3">
      <c r="A82" s="22" t="s">
        <v>355</v>
      </c>
      <c r="B82" s="22" t="s">
        <v>505</v>
      </c>
      <c r="C82" s="22" t="s">
        <v>592</v>
      </c>
      <c r="D82" s="22" t="s">
        <v>580</v>
      </c>
      <c r="F82" s="69"/>
      <c r="G82" s="69"/>
      <c r="H82" s="69"/>
      <c r="I82" s="69"/>
    </row>
    <row r="83" spans="1:9" s="65" customFormat="1" x14ac:dyDescent="0.3">
      <c r="A83" s="22" t="s">
        <v>356</v>
      </c>
      <c r="B83" s="22" t="s">
        <v>506</v>
      </c>
      <c r="C83" s="22" t="s">
        <v>593</v>
      </c>
      <c r="D83" s="22" t="s">
        <v>580</v>
      </c>
      <c r="F83" s="69"/>
      <c r="G83" s="69"/>
      <c r="H83" s="69"/>
      <c r="I83" s="69"/>
    </row>
    <row r="84" spans="1:9" s="65" customFormat="1" x14ac:dyDescent="0.3">
      <c r="A84" s="22" t="s">
        <v>357</v>
      </c>
      <c r="B84" s="22" t="s">
        <v>507</v>
      </c>
      <c r="C84" s="22" t="s">
        <v>594</v>
      </c>
      <c r="D84" s="22" t="s">
        <v>580</v>
      </c>
      <c r="F84" s="69"/>
      <c r="G84" s="69"/>
      <c r="H84" s="69"/>
      <c r="I84" s="69"/>
    </row>
    <row r="85" spans="1:9" s="65" customFormat="1" x14ac:dyDescent="0.3">
      <c r="A85" s="78" t="s">
        <v>742</v>
      </c>
      <c r="B85" s="22"/>
      <c r="C85" s="22"/>
      <c r="D85" s="22"/>
      <c r="F85" s="69"/>
      <c r="G85" s="69"/>
      <c r="H85" s="69"/>
      <c r="I85" s="69"/>
    </row>
    <row r="86" spans="1:9" ht="124.5" customHeight="1" x14ac:dyDescent="0.3">
      <c r="A86" s="74" t="s">
        <v>737</v>
      </c>
      <c r="B86" s="77" t="s">
        <v>739</v>
      </c>
      <c r="C86" s="35">
        <v>123456789</v>
      </c>
      <c r="D86" s="35" t="str">
        <f>MID(C86,3,3)</f>
        <v>345</v>
      </c>
      <c r="E86" s="74" t="s">
        <v>738</v>
      </c>
    </row>
    <row r="87" spans="1:9" x14ac:dyDescent="0.3">
      <c r="A87" s="22" t="s">
        <v>360</v>
      </c>
      <c r="B87" s="22" t="s">
        <v>743</v>
      </c>
      <c r="C87" s="22" t="s">
        <v>597</v>
      </c>
      <c r="D87" s="22" t="s">
        <v>580</v>
      </c>
      <c r="E87" s="71" t="str">
        <f>MID(B87,5,2)</f>
        <v>02</v>
      </c>
    </row>
    <row r="88" spans="1:9" x14ac:dyDescent="0.3">
      <c r="A88" s="22" t="s">
        <v>359</v>
      </c>
      <c r="B88" s="22" t="s">
        <v>744</v>
      </c>
      <c r="C88" s="22" t="s">
        <v>596</v>
      </c>
      <c r="D88" s="22" t="s">
        <v>580</v>
      </c>
      <c r="E88" s="71" t="str">
        <f t="shared" ref="E88:E151" si="0">MID(B88,5,2)</f>
        <v>03</v>
      </c>
    </row>
    <row r="89" spans="1:9" x14ac:dyDescent="0.3">
      <c r="A89" s="22" t="s">
        <v>358</v>
      </c>
      <c r="B89" s="22" t="s">
        <v>745</v>
      </c>
      <c r="C89" s="22" t="s">
        <v>595</v>
      </c>
      <c r="D89" s="22" t="s">
        <v>580</v>
      </c>
      <c r="E89" s="71" t="str">
        <f t="shared" si="0"/>
        <v>04</v>
      </c>
    </row>
    <row r="90" spans="1:9" x14ac:dyDescent="0.3">
      <c r="A90" s="9" t="s">
        <v>179</v>
      </c>
      <c r="B90" s="22" t="s">
        <v>193</v>
      </c>
      <c r="C90" s="70">
        <v>231200117594</v>
      </c>
      <c r="D90" s="22" t="s">
        <v>194</v>
      </c>
      <c r="E90" s="71" t="str">
        <f t="shared" si="0"/>
        <v>76</v>
      </c>
    </row>
    <row r="91" spans="1:9" x14ac:dyDescent="0.3">
      <c r="A91" s="9" t="s">
        <v>180</v>
      </c>
      <c r="B91" s="22" t="s">
        <v>197</v>
      </c>
      <c r="C91" s="70">
        <v>231200117598</v>
      </c>
      <c r="D91" s="22" t="s">
        <v>194</v>
      </c>
      <c r="E91" s="71" t="str">
        <f t="shared" si="0"/>
        <v>79</v>
      </c>
    </row>
    <row r="92" spans="1:9" x14ac:dyDescent="0.3">
      <c r="A92" s="9" t="s">
        <v>181</v>
      </c>
      <c r="B92" s="22" t="s">
        <v>199</v>
      </c>
      <c r="C92" s="70">
        <v>231200117599</v>
      </c>
      <c r="D92" s="22" t="s">
        <v>194</v>
      </c>
      <c r="E92" s="71" t="str">
        <f t="shared" si="0"/>
        <v>77</v>
      </c>
    </row>
    <row r="93" spans="1:9" x14ac:dyDescent="0.3">
      <c r="A93" s="9" t="s">
        <v>182</v>
      </c>
      <c r="B93" s="22" t="s">
        <v>201</v>
      </c>
      <c r="C93" s="70">
        <v>231200117600</v>
      </c>
      <c r="D93" s="22" t="s">
        <v>194</v>
      </c>
      <c r="E93" s="71" t="str">
        <f t="shared" si="0"/>
        <v>80</v>
      </c>
    </row>
    <row r="94" spans="1:9" x14ac:dyDescent="0.3">
      <c r="A94" s="9" t="s">
        <v>183</v>
      </c>
      <c r="B94" s="22" t="s">
        <v>203</v>
      </c>
      <c r="C94" s="70">
        <v>231200117593</v>
      </c>
      <c r="D94" s="22" t="s">
        <v>204</v>
      </c>
      <c r="E94" s="71" t="str">
        <f t="shared" si="0"/>
        <v>78</v>
      </c>
    </row>
    <row r="95" spans="1:9" x14ac:dyDescent="0.3">
      <c r="A95" s="9" t="s">
        <v>184</v>
      </c>
      <c r="B95" s="22" t="s">
        <v>206</v>
      </c>
      <c r="C95" s="70">
        <v>231200117595</v>
      </c>
      <c r="D95" s="22" t="s">
        <v>194</v>
      </c>
      <c r="E95" s="71" t="str">
        <f t="shared" si="0"/>
        <v>81</v>
      </c>
    </row>
    <row r="96" spans="1:9" x14ac:dyDescent="0.3">
      <c r="A96" s="9" t="s">
        <v>185</v>
      </c>
      <c r="B96" s="22" t="s">
        <v>208</v>
      </c>
      <c r="C96" s="70">
        <v>231200117596</v>
      </c>
      <c r="D96" s="22" t="s">
        <v>204</v>
      </c>
      <c r="E96" s="71" t="str">
        <f t="shared" si="0"/>
        <v>82</v>
      </c>
    </row>
    <row r="97" spans="1:5" x14ac:dyDescent="0.3">
      <c r="A97" s="22" t="s">
        <v>286</v>
      </c>
      <c r="B97" s="22" t="s">
        <v>436</v>
      </c>
      <c r="C97" s="22" t="s">
        <v>536</v>
      </c>
      <c r="D97" s="22" t="s">
        <v>540</v>
      </c>
      <c r="E97" s="71" t="str">
        <f t="shared" si="0"/>
        <v>21</v>
      </c>
    </row>
    <row r="98" spans="1:5" x14ac:dyDescent="0.3">
      <c r="A98" s="22" t="s">
        <v>287</v>
      </c>
      <c r="B98" s="22" t="s">
        <v>437</v>
      </c>
      <c r="C98" s="22" t="s">
        <v>537</v>
      </c>
      <c r="D98" s="22" t="s">
        <v>540</v>
      </c>
      <c r="E98" s="71" t="str">
        <f t="shared" si="0"/>
        <v>22</v>
      </c>
    </row>
    <row r="99" spans="1:5" x14ac:dyDescent="0.3">
      <c r="A99" s="22" t="s">
        <v>288</v>
      </c>
      <c r="B99" s="22" t="s">
        <v>438</v>
      </c>
      <c r="C99" s="22" t="s">
        <v>538</v>
      </c>
      <c r="D99" s="22" t="s">
        <v>540</v>
      </c>
      <c r="E99" s="71" t="str">
        <f t="shared" si="0"/>
        <v>23</v>
      </c>
    </row>
    <row r="100" spans="1:5" x14ac:dyDescent="0.3">
      <c r="A100" s="22" t="s">
        <v>289</v>
      </c>
      <c r="B100" s="22" t="s">
        <v>439</v>
      </c>
      <c r="C100" s="22" t="s">
        <v>539</v>
      </c>
      <c r="D100" s="22" t="s">
        <v>540</v>
      </c>
      <c r="E100" s="71" t="str">
        <f t="shared" si="0"/>
        <v>24</v>
      </c>
    </row>
    <row r="101" spans="1:5" x14ac:dyDescent="0.3">
      <c r="A101" s="22" t="s">
        <v>610</v>
      </c>
      <c r="B101" s="22" t="s">
        <v>440</v>
      </c>
      <c r="C101" s="22" t="s">
        <v>611</v>
      </c>
      <c r="D101" s="22" t="s">
        <v>540</v>
      </c>
      <c r="E101" s="71" t="str">
        <f t="shared" si="0"/>
        <v>25</v>
      </c>
    </row>
    <row r="102" spans="1:5" x14ac:dyDescent="0.3">
      <c r="A102" s="22" t="s">
        <v>291</v>
      </c>
      <c r="B102" s="22" t="s">
        <v>441</v>
      </c>
      <c r="C102" s="22" t="s">
        <v>541</v>
      </c>
      <c r="D102" s="22" t="s">
        <v>540</v>
      </c>
      <c r="E102" s="71" t="str">
        <f t="shared" si="0"/>
        <v>26</v>
      </c>
    </row>
    <row r="103" spans="1:5" x14ac:dyDescent="0.3">
      <c r="A103" s="22" t="s">
        <v>292</v>
      </c>
      <c r="B103" s="22" t="s">
        <v>442</v>
      </c>
      <c r="C103" s="22" t="s">
        <v>542</v>
      </c>
      <c r="D103" s="22" t="s">
        <v>546</v>
      </c>
      <c r="E103" s="71" t="str">
        <f t="shared" si="0"/>
        <v>27</v>
      </c>
    </row>
    <row r="104" spans="1:5" x14ac:dyDescent="0.3">
      <c r="A104" s="22" t="s">
        <v>293</v>
      </c>
      <c r="B104" s="22" t="s">
        <v>443</v>
      </c>
      <c r="C104" s="22" t="s">
        <v>543</v>
      </c>
      <c r="D104" s="22" t="s">
        <v>546</v>
      </c>
      <c r="E104" s="71" t="str">
        <f t="shared" si="0"/>
        <v>28</v>
      </c>
    </row>
    <row r="105" spans="1:5" x14ac:dyDescent="0.3">
      <c r="A105" s="22" t="s">
        <v>294</v>
      </c>
      <c r="B105" s="22" t="s">
        <v>444</v>
      </c>
      <c r="C105" s="22" t="s">
        <v>544</v>
      </c>
      <c r="D105" s="22" t="s">
        <v>546</v>
      </c>
      <c r="E105" s="71" t="str">
        <f t="shared" si="0"/>
        <v>29</v>
      </c>
    </row>
    <row r="106" spans="1:5" x14ac:dyDescent="0.3">
      <c r="A106" s="22" t="s">
        <v>295</v>
      </c>
      <c r="B106" s="22" t="s">
        <v>445</v>
      </c>
      <c r="C106" s="22" t="s">
        <v>545</v>
      </c>
      <c r="D106" s="22" t="s">
        <v>546</v>
      </c>
      <c r="E106" s="71" t="str">
        <f t="shared" si="0"/>
        <v>30</v>
      </c>
    </row>
    <row r="107" spans="1:5" x14ac:dyDescent="0.3">
      <c r="A107" s="22" t="s">
        <v>622</v>
      </c>
      <c r="B107" s="22" t="s">
        <v>446</v>
      </c>
      <c r="C107" s="22" t="s">
        <v>623</v>
      </c>
      <c r="D107" s="22" t="s">
        <v>546</v>
      </c>
      <c r="E107" s="71" t="str">
        <f t="shared" si="0"/>
        <v>31</v>
      </c>
    </row>
    <row r="108" spans="1:5" x14ac:dyDescent="0.3">
      <c r="A108" s="22" t="s">
        <v>297</v>
      </c>
      <c r="B108" s="22" t="s">
        <v>447</v>
      </c>
      <c r="C108" s="22" t="s">
        <v>547</v>
      </c>
      <c r="D108" s="22" t="s">
        <v>546</v>
      </c>
      <c r="E108" s="71" t="str">
        <f t="shared" si="0"/>
        <v>32</v>
      </c>
    </row>
    <row r="109" spans="1:5" x14ac:dyDescent="0.3">
      <c r="A109" s="22" t="s">
        <v>298</v>
      </c>
      <c r="B109" s="22" t="s">
        <v>448</v>
      </c>
      <c r="C109" s="22" t="s">
        <v>548</v>
      </c>
      <c r="D109" s="22" t="s">
        <v>546</v>
      </c>
      <c r="E109" s="71" t="str">
        <f t="shared" si="0"/>
        <v>33</v>
      </c>
    </row>
    <row r="110" spans="1:5" x14ac:dyDescent="0.3">
      <c r="A110" s="22" t="s">
        <v>633</v>
      </c>
      <c r="B110" s="22" t="s">
        <v>449</v>
      </c>
      <c r="C110" s="22" t="s">
        <v>624</v>
      </c>
      <c r="D110" s="22" t="s">
        <v>551</v>
      </c>
      <c r="E110" s="71" t="str">
        <f t="shared" si="0"/>
        <v>34</v>
      </c>
    </row>
    <row r="111" spans="1:5" x14ac:dyDescent="0.3">
      <c r="A111" s="22" t="s">
        <v>634</v>
      </c>
      <c r="B111" s="22" t="s">
        <v>450</v>
      </c>
      <c r="C111" s="22" t="s">
        <v>625</v>
      </c>
      <c r="D111" s="22" t="s">
        <v>551</v>
      </c>
      <c r="E111" s="71" t="str">
        <f t="shared" si="0"/>
        <v>35</v>
      </c>
    </row>
    <row r="112" spans="1:5" x14ac:dyDescent="0.3">
      <c r="A112" s="22" t="s">
        <v>635</v>
      </c>
      <c r="B112" s="22" t="s">
        <v>451</v>
      </c>
      <c r="C112" s="22" t="s">
        <v>626</v>
      </c>
      <c r="D112" s="22" t="s">
        <v>551</v>
      </c>
      <c r="E112" s="71" t="str">
        <f t="shared" si="0"/>
        <v>36</v>
      </c>
    </row>
    <row r="113" spans="1:5" x14ac:dyDescent="0.3">
      <c r="A113" s="22" t="s">
        <v>636</v>
      </c>
      <c r="B113" s="22" t="s">
        <v>452</v>
      </c>
      <c r="C113" s="22" t="s">
        <v>627</v>
      </c>
      <c r="D113" s="22" t="s">
        <v>632</v>
      </c>
      <c r="E113" s="71" t="str">
        <f t="shared" si="0"/>
        <v>37</v>
      </c>
    </row>
    <row r="114" spans="1:5" x14ac:dyDescent="0.3">
      <c r="A114" s="22" t="s">
        <v>637</v>
      </c>
      <c r="B114" s="22" t="s">
        <v>453</v>
      </c>
      <c r="C114" s="22" t="s">
        <v>628</v>
      </c>
      <c r="D114" s="22" t="s">
        <v>632</v>
      </c>
      <c r="E114" s="71" t="str">
        <f t="shared" si="0"/>
        <v>38</v>
      </c>
    </row>
    <row r="115" spans="1:5" x14ac:dyDescent="0.3">
      <c r="A115" s="22" t="s">
        <v>638</v>
      </c>
      <c r="B115" s="22" t="s">
        <v>454</v>
      </c>
      <c r="C115" s="22" t="s">
        <v>629</v>
      </c>
      <c r="D115" s="22" t="s">
        <v>632</v>
      </c>
      <c r="E115" s="71" t="str">
        <f t="shared" si="0"/>
        <v>39</v>
      </c>
    </row>
    <row r="116" spans="1:5" x14ac:dyDescent="0.3">
      <c r="A116" s="22" t="s">
        <v>639</v>
      </c>
      <c r="B116" s="22" t="s">
        <v>455</v>
      </c>
      <c r="C116" s="22" t="s">
        <v>630</v>
      </c>
      <c r="D116" s="22" t="s">
        <v>632</v>
      </c>
      <c r="E116" s="71" t="str">
        <f t="shared" si="0"/>
        <v>40</v>
      </c>
    </row>
    <row r="117" spans="1:5" x14ac:dyDescent="0.3">
      <c r="A117" s="22" t="s">
        <v>640</v>
      </c>
      <c r="B117" s="22" t="s">
        <v>456</v>
      </c>
      <c r="C117" s="22" t="s">
        <v>631</v>
      </c>
      <c r="D117" s="22" t="s">
        <v>632</v>
      </c>
      <c r="E117" s="71" t="str">
        <f t="shared" si="0"/>
        <v>41</v>
      </c>
    </row>
    <row r="118" spans="1:5" x14ac:dyDescent="0.3">
      <c r="A118" s="22" t="s">
        <v>299</v>
      </c>
      <c r="B118" s="22" t="s">
        <v>457</v>
      </c>
      <c r="C118" s="22" t="s">
        <v>549</v>
      </c>
      <c r="D118" s="22" t="s">
        <v>550</v>
      </c>
      <c r="E118" s="71" t="str">
        <f t="shared" si="0"/>
        <v>46</v>
      </c>
    </row>
    <row r="119" spans="1:5" x14ac:dyDescent="0.3">
      <c r="A119" s="22" t="s">
        <v>308</v>
      </c>
      <c r="B119" s="22" t="s">
        <v>458</v>
      </c>
      <c r="C119" s="22">
        <v>1421007424</v>
      </c>
      <c r="D119" s="22" t="s">
        <v>551</v>
      </c>
      <c r="E119" s="71" t="str">
        <f t="shared" si="0"/>
        <v>75</v>
      </c>
    </row>
    <row r="120" spans="1:5" x14ac:dyDescent="0.3">
      <c r="A120" s="22" t="s">
        <v>309</v>
      </c>
      <c r="B120" s="22" t="s">
        <v>459</v>
      </c>
      <c r="C120" s="22" t="s">
        <v>552</v>
      </c>
      <c r="D120" s="22" t="s">
        <v>551</v>
      </c>
      <c r="E120" s="71" t="str">
        <f t="shared" si="0"/>
        <v>74</v>
      </c>
    </row>
    <row r="121" spans="1:5" x14ac:dyDescent="0.3">
      <c r="A121" s="22" t="s">
        <v>310</v>
      </c>
      <c r="B121" s="22" t="s">
        <v>460</v>
      </c>
      <c r="C121" s="22" t="s">
        <v>553</v>
      </c>
      <c r="D121" s="22" t="s">
        <v>546</v>
      </c>
      <c r="E121" s="71" t="str">
        <f t="shared" si="0"/>
        <v>73</v>
      </c>
    </row>
    <row r="122" spans="1:5" x14ac:dyDescent="0.3">
      <c r="A122" s="22" t="s">
        <v>621</v>
      </c>
      <c r="B122" s="22" t="s">
        <v>461</v>
      </c>
      <c r="C122" s="22" t="s">
        <v>620</v>
      </c>
      <c r="D122" s="22" t="s">
        <v>546</v>
      </c>
      <c r="E122" s="71" t="str">
        <f t="shared" si="0"/>
        <v>72</v>
      </c>
    </row>
    <row r="123" spans="1:5" x14ac:dyDescent="0.3">
      <c r="A123" s="22" t="s">
        <v>612</v>
      </c>
      <c r="B123" s="22" t="s">
        <v>462</v>
      </c>
      <c r="C123" s="22" t="s">
        <v>613</v>
      </c>
      <c r="D123" s="22" t="s">
        <v>546</v>
      </c>
      <c r="E123" s="71" t="str">
        <f t="shared" si="0"/>
        <v>71</v>
      </c>
    </row>
    <row r="124" spans="1:5" x14ac:dyDescent="0.3">
      <c r="A124" s="22" t="s">
        <v>618</v>
      </c>
      <c r="B124" s="22" t="s">
        <v>463</v>
      </c>
      <c r="C124" s="22" t="s">
        <v>619</v>
      </c>
      <c r="D124" s="22" t="s">
        <v>546</v>
      </c>
      <c r="E124" s="71" t="str">
        <f t="shared" si="0"/>
        <v>70</v>
      </c>
    </row>
    <row r="125" spans="1:5" x14ac:dyDescent="0.3">
      <c r="A125" s="22" t="s">
        <v>616</v>
      </c>
      <c r="B125" s="22" t="s">
        <v>464</v>
      </c>
      <c r="C125" s="22" t="s">
        <v>617</v>
      </c>
      <c r="D125" s="22" t="s">
        <v>546</v>
      </c>
      <c r="E125" s="71" t="str">
        <f t="shared" si="0"/>
        <v>69</v>
      </c>
    </row>
    <row r="126" spans="1:5" x14ac:dyDescent="0.3">
      <c r="A126" s="22" t="s">
        <v>614</v>
      </c>
      <c r="B126" s="22" t="s">
        <v>465</v>
      </c>
      <c r="C126" s="22" t="s">
        <v>615</v>
      </c>
      <c r="D126" s="22" t="s">
        <v>546</v>
      </c>
      <c r="E126" s="71" t="str">
        <f t="shared" si="0"/>
        <v>68</v>
      </c>
    </row>
    <row r="127" spans="1:5" x14ac:dyDescent="0.3">
      <c r="A127" s="22" t="s">
        <v>609</v>
      </c>
      <c r="B127" s="22" t="s">
        <v>466</v>
      </c>
      <c r="C127" s="22" t="s">
        <v>603</v>
      </c>
      <c r="D127" s="22" t="s">
        <v>540</v>
      </c>
      <c r="E127" s="71" t="str">
        <f t="shared" si="0"/>
        <v>67</v>
      </c>
    </row>
    <row r="128" spans="1:5" x14ac:dyDescent="0.3">
      <c r="A128" s="22" t="s">
        <v>608</v>
      </c>
      <c r="B128" s="22" t="s">
        <v>467</v>
      </c>
      <c r="C128" s="22" t="s">
        <v>602</v>
      </c>
      <c r="D128" s="22" t="s">
        <v>540</v>
      </c>
      <c r="E128" s="71" t="str">
        <f t="shared" si="0"/>
        <v>66</v>
      </c>
    </row>
    <row r="129" spans="1:5" x14ac:dyDescent="0.3">
      <c r="A129" s="22" t="s">
        <v>607</v>
      </c>
      <c r="B129" s="22" t="s">
        <v>468</v>
      </c>
      <c r="C129" s="22" t="s">
        <v>601</v>
      </c>
      <c r="D129" s="22" t="s">
        <v>540</v>
      </c>
      <c r="E129" s="71" t="str">
        <f t="shared" si="0"/>
        <v>65</v>
      </c>
    </row>
    <row r="130" spans="1:5" x14ac:dyDescent="0.3">
      <c r="A130" s="22" t="s">
        <v>606</v>
      </c>
      <c r="B130" s="22" t="s">
        <v>469</v>
      </c>
      <c r="C130" s="22" t="s">
        <v>600</v>
      </c>
      <c r="D130" s="22" t="s">
        <v>540</v>
      </c>
      <c r="E130" s="71" t="str">
        <f t="shared" si="0"/>
        <v>64</v>
      </c>
    </row>
    <row r="131" spans="1:5" x14ac:dyDescent="0.3">
      <c r="A131" s="22" t="s">
        <v>605</v>
      </c>
      <c r="B131" s="22" t="s">
        <v>470</v>
      </c>
      <c r="C131" s="22" t="s">
        <v>599</v>
      </c>
      <c r="D131" s="22" t="s">
        <v>540</v>
      </c>
      <c r="E131" s="71" t="str">
        <f t="shared" si="0"/>
        <v>63</v>
      </c>
    </row>
    <row r="132" spans="1:5" x14ac:dyDescent="0.3">
      <c r="A132" s="22" t="s">
        <v>604</v>
      </c>
      <c r="B132" s="22" t="s">
        <v>471</v>
      </c>
      <c r="C132" s="22" t="s">
        <v>598</v>
      </c>
      <c r="D132" s="22" t="s">
        <v>540</v>
      </c>
      <c r="E132" s="71" t="str">
        <f t="shared" si="0"/>
        <v>62</v>
      </c>
    </row>
    <row r="133" spans="1:5" x14ac:dyDescent="0.3">
      <c r="A133" s="22" t="s">
        <v>322</v>
      </c>
      <c r="B133" s="22" t="s">
        <v>472</v>
      </c>
      <c r="C133" s="22" t="s">
        <v>554</v>
      </c>
      <c r="D133" s="22" t="s">
        <v>577</v>
      </c>
      <c r="E133" s="71" t="str">
        <f t="shared" si="0"/>
        <v>61</v>
      </c>
    </row>
    <row r="134" spans="1:5" x14ac:dyDescent="0.3">
      <c r="A134" s="22" t="s">
        <v>323</v>
      </c>
      <c r="B134" s="22" t="s">
        <v>473</v>
      </c>
      <c r="C134" s="22" t="s">
        <v>555</v>
      </c>
      <c r="D134" s="22" t="s">
        <v>577</v>
      </c>
      <c r="E134" s="71" t="str">
        <f t="shared" si="0"/>
        <v>60</v>
      </c>
    </row>
    <row r="135" spans="1:5" x14ac:dyDescent="0.3">
      <c r="A135" s="22" t="s">
        <v>324</v>
      </c>
      <c r="B135" s="22" t="s">
        <v>474</v>
      </c>
      <c r="C135" s="22" t="s">
        <v>556</v>
      </c>
      <c r="D135" s="22" t="s">
        <v>577</v>
      </c>
      <c r="E135" s="71" t="str">
        <f t="shared" si="0"/>
        <v>59</v>
      </c>
    </row>
    <row r="136" spans="1:5" x14ac:dyDescent="0.3">
      <c r="A136" s="22" t="s">
        <v>325</v>
      </c>
      <c r="B136" s="22" t="s">
        <v>475</v>
      </c>
      <c r="C136" s="22" t="s">
        <v>557</v>
      </c>
      <c r="D136" s="22" t="s">
        <v>577</v>
      </c>
      <c r="E136" s="71" t="str">
        <f t="shared" si="0"/>
        <v>58</v>
      </c>
    </row>
    <row r="137" spans="1:5" x14ac:dyDescent="0.3">
      <c r="A137" s="22" t="s">
        <v>326</v>
      </c>
      <c r="B137" s="22" t="s">
        <v>476</v>
      </c>
      <c r="C137" s="22" t="s">
        <v>558</v>
      </c>
      <c r="D137" s="22" t="s">
        <v>577</v>
      </c>
      <c r="E137" s="71" t="str">
        <f t="shared" si="0"/>
        <v>57</v>
      </c>
    </row>
    <row r="138" spans="1:5" x14ac:dyDescent="0.3">
      <c r="A138" s="22" t="s">
        <v>327</v>
      </c>
      <c r="B138" s="22" t="s">
        <v>477</v>
      </c>
      <c r="C138" s="22" t="s">
        <v>559</v>
      </c>
      <c r="D138" s="22" t="s">
        <v>577</v>
      </c>
      <c r="E138" s="71" t="str">
        <f t="shared" si="0"/>
        <v>56</v>
      </c>
    </row>
    <row r="139" spans="1:5" x14ac:dyDescent="0.3">
      <c r="A139" s="22" t="s">
        <v>328</v>
      </c>
      <c r="B139" s="22" t="s">
        <v>478</v>
      </c>
      <c r="C139" s="22" t="s">
        <v>560</v>
      </c>
      <c r="D139" s="22" t="s">
        <v>578</v>
      </c>
      <c r="E139" s="71" t="str">
        <f t="shared" si="0"/>
        <v>55</v>
      </c>
    </row>
    <row r="140" spans="1:5" x14ac:dyDescent="0.3">
      <c r="A140" s="22" t="s">
        <v>329</v>
      </c>
      <c r="B140" s="22" t="s">
        <v>479</v>
      </c>
      <c r="C140" s="22" t="s">
        <v>561</v>
      </c>
      <c r="D140" s="22" t="s">
        <v>578</v>
      </c>
      <c r="E140" s="71" t="str">
        <f t="shared" si="0"/>
        <v>54</v>
      </c>
    </row>
    <row r="141" spans="1:5" x14ac:dyDescent="0.3">
      <c r="A141" s="22" t="s">
        <v>330</v>
      </c>
      <c r="B141" s="22" t="s">
        <v>480</v>
      </c>
      <c r="C141" s="22" t="s">
        <v>562</v>
      </c>
      <c r="D141" s="22" t="s">
        <v>578</v>
      </c>
      <c r="E141" s="71" t="str">
        <f t="shared" si="0"/>
        <v>53</v>
      </c>
    </row>
    <row r="142" spans="1:5" x14ac:dyDescent="0.3">
      <c r="A142" s="22" t="s">
        <v>331</v>
      </c>
      <c r="B142" s="22" t="s">
        <v>481</v>
      </c>
      <c r="C142" s="22" t="s">
        <v>563</v>
      </c>
      <c r="D142" s="22" t="s">
        <v>578</v>
      </c>
      <c r="E142" s="71" t="str">
        <f t="shared" si="0"/>
        <v>52</v>
      </c>
    </row>
    <row r="143" spans="1:5" x14ac:dyDescent="0.3">
      <c r="A143" s="22" t="s">
        <v>332</v>
      </c>
      <c r="B143" s="22" t="s">
        <v>482</v>
      </c>
      <c r="C143" s="22" t="s">
        <v>564</v>
      </c>
      <c r="D143" s="22" t="s">
        <v>578</v>
      </c>
      <c r="E143" s="71" t="str">
        <f t="shared" si="0"/>
        <v>51</v>
      </c>
    </row>
    <row r="144" spans="1:5" x14ac:dyDescent="0.3">
      <c r="A144" s="22" t="s">
        <v>333</v>
      </c>
      <c r="B144" s="22" t="s">
        <v>483</v>
      </c>
      <c r="C144" s="22">
        <v>1411162670</v>
      </c>
      <c r="D144" s="22" t="s">
        <v>579</v>
      </c>
      <c r="E144" s="71" t="str">
        <f t="shared" si="0"/>
        <v>50</v>
      </c>
    </row>
    <row r="145" spans="1:5" x14ac:dyDescent="0.3">
      <c r="A145" s="22" t="s">
        <v>334</v>
      </c>
      <c r="B145" s="22" t="s">
        <v>484</v>
      </c>
      <c r="C145" s="22" t="s">
        <v>565</v>
      </c>
      <c r="D145" s="22" t="s">
        <v>580</v>
      </c>
      <c r="E145" s="71" t="str">
        <f t="shared" si="0"/>
        <v>49</v>
      </c>
    </row>
    <row r="146" spans="1:5" x14ac:dyDescent="0.3">
      <c r="A146" s="22" t="s">
        <v>335</v>
      </c>
      <c r="B146" s="22" t="s">
        <v>485</v>
      </c>
      <c r="C146" s="22" t="s">
        <v>566</v>
      </c>
      <c r="D146" s="22" t="s">
        <v>580</v>
      </c>
      <c r="E146" s="71" t="str">
        <f t="shared" si="0"/>
        <v>48</v>
      </c>
    </row>
    <row r="147" spans="1:5" x14ac:dyDescent="0.3">
      <c r="A147" s="22" t="s">
        <v>336</v>
      </c>
      <c r="B147" s="22" t="s">
        <v>486</v>
      </c>
      <c r="C147" s="22" t="s">
        <v>567</v>
      </c>
      <c r="D147" s="22" t="s">
        <v>550</v>
      </c>
      <c r="E147" s="71" t="str">
        <f t="shared" si="0"/>
        <v>47</v>
      </c>
    </row>
    <row r="148" spans="1:5" x14ac:dyDescent="0.3">
      <c r="A148" s="22" t="s">
        <v>337</v>
      </c>
      <c r="B148" s="22" t="s">
        <v>487</v>
      </c>
      <c r="C148" s="22" t="s">
        <v>568</v>
      </c>
      <c r="D148" s="22" t="s">
        <v>581</v>
      </c>
      <c r="E148" s="71" t="str">
        <f t="shared" si="0"/>
        <v>45</v>
      </c>
    </row>
    <row r="149" spans="1:5" x14ac:dyDescent="0.3">
      <c r="A149" s="22" t="s">
        <v>338</v>
      </c>
      <c r="B149" s="22" t="s">
        <v>488</v>
      </c>
      <c r="C149" s="22" t="s">
        <v>569</v>
      </c>
      <c r="D149" s="22" t="s">
        <v>581</v>
      </c>
      <c r="E149" s="71" t="str">
        <f t="shared" si="0"/>
        <v>44</v>
      </c>
    </row>
    <row r="150" spans="1:5" x14ac:dyDescent="0.3">
      <c r="A150" s="22" t="s">
        <v>339</v>
      </c>
      <c r="B150" s="22" t="s">
        <v>489</v>
      </c>
      <c r="C150" s="22" t="s">
        <v>570</v>
      </c>
      <c r="D150" s="22" t="s">
        <v>550</v>
      </c>
      <c r="E150" s="71" t="str">
        <f t="shared" si="0"/>
        <v>43</v>
      </c>
    </row>
    <row r="151" spans="1:5" x14ac:dyDescent="0.3">
      <c r="A151" s="22" t="s">
        <v>340</v>
      </c>
      <c r="B151" s="22" t="s">
        <v>490</v>
      </c>
      <c r="C151" s="22" t="s">
        <v>571</v>
      </c>
      <c r="D151" s="22" t="s">
        <v>550</v>
      </c>
      <c r="E151" s="71" t="str">
        <f t="shared" si="0"/>
        <v>42</v>
      </c>
    </row>
    <row r="152" spans="1:5" x14ac:dyDescent="0.3">
      <c r="A152" s="22" t="s">
        <v>341</v>
      </c>
      <c r="B152" s="22" t="s">
        <v>491</v>
      </c>
      <c r="C152" s="22" t="s">
        <v>572</v>
      </c>
      <c r="D152" s="22" t="s">
        <v>580</v>
      </c>
      <c r="E152" s="71" t="str">
        <f t="shared" ref="E152:E168" si="1">MID(B152,5,2)</f>
        <v>01</v>
      </c>
    </row>
    <row r="153" spans="1:5" x14ac:dyDescent="0.3">
      <c r="A153" s="22" t="s">
        <v>342</v>
      </c>
      <c r="B153" s="22" t="s">
        <v>492</v>
      </c>
      <c r="C153" s="22" t="s">
        <v>573</v>
      </c>
      <c r="D153" s="22" t="s">
        <v>577</v>
      </c>
      <c r="E153" s="71" t="str">
        <f t="shared" si="1"/>
        <v>20</v>
      </c>
    </row>
    <row r="154" spans="1:5" x14ac:dyDescent="0.3">
      <c r="A154" s="22" t="s">
        <v>343</v>
      </c>
      <c r="B154" s="22" t="s">
        <v>493</v>
      </c>
      <c r="C154" s="22" t="s">
        <v>574</v>
      </c>
      <c r="D154" s="22" t="s">
        <v>577</v>
      </c>
      <c r="E154" s="71" t="str">
        <f t="shared" si="1"/>
        <v>19</v>
      </c>
    </row>
    <row r="155" spans="1:5" x14ac:dyDescent="0.3">
      <c r="A155" s="22" t="s">
        <v>344</v>
      </c>
      <c r="B155" s="22" t="s">
        <v>494</v>
      </c>
      <c r="C155" s="22" t="s">
        <v>575</v>
      </c>
      <c r="D155" s="22" t="s">
        <v>577</v>
      </c>
      <c r="E155" s="71" t="str">
        <f t="shared" si="1"/>
        <v>18</v>
      </c>
    </row>
    <row r="156" spans="1:5" x14ac:dyDescent="0.3">
      <c r="A156" s="22" t="s">
        <v>345</v>
      </c>
      <c r="B156" s="22" t="s">
        <v>495</v>
      </c>
      <c r="C156" s="22" t="s">
        <v>576</v>
      </c>
      <c r="D156" s="22" t="s">
        <v>582</v>
      </c>
      <c r="E156" s="71" t="str">
        <f t="shared" si="1"/>
        <v>17</v>
      </c>
    </row>
    <row r="157" spans="1:5" x14ac:dyDescent="0.3">
      <c r="A157" s="22" t="s">
        <v>346</v>
      </c>
      <c r="B157" s="22" t="s">
        <v>496</v>
      </c>
      <c r="C157" s="22">
        <v>11435114</v>
      </c>
      <c r="D157" s="22" t="s">
        <v>583</v>
      </c>
      <c r="E157" s="71" t="str">
        <f t="shared" si="1"/>
        <v>16</v>
      </c>
    </row>
    <row r="158" spans="1:5" x14ac:dyDescent="0.3">
      <c r="A158" s="22" t="s">
        <v>347</v>
      </c>
      <c r="B158" s="22" t="s">
        <v>497</v>
      </c>
      <c r="C158" s="22" t="s">
        <v>584</v>
      </c>
      <c r="D158" s="22" t="s">
        <v>583</v>
      </c>
      <c r="E158" s="71" t="str">
        <f t="shared" si="1"/>
        <v>15</v>
      </c>
    </row>
    <row r="159" spans="1:5" x14ac:dyDescent="0.3">
      <c r="A159" s="22" t="s">
        <v>348</v>
      </c>
      <c r="B159" s="22" t="s">
        <v>498</v>
      </c>
      <c r="C159" s="22" t="s">
        <v>585</v>
      </c>
      <c r="D159" s="22" t="s">
        <v>578</v>
      </c>
      <c r="E159" s="71" t="str">
        <f t="shared" si="1"/>
        <v>14</v>
      </c>
    </row>
    <row r="160" spans="1:5" x14ac:dyDescent="0.3">
      <c r="A160" s="22" t="s">
        <v>349</v>
      </c>
      <c r="B160" s="22" t="s">
        <v>499</v>
      </c>
      <c r="C160" s="22" t="s">
        <v>586</v>
      </c>
      <c r="D160" s="22" t="s">
        <v>578</v>
      </c>
      <c r="E160" s="71" t="str">
        <f t="shared" si="1"/>
        <v>13</v>
      </c>
    </row>
    <row r="161" spans="1:5" x14ac:dyDescent="0.3">
      <c r="A161" s="22" t="s">
        <v>350</v>
      </c>
      <c r="B161" s="22" t="s">
        <v>500</v>
      </c>
      <c r="C161" s="22" t="s">
        <v>587</v>
      </c>
      <c r="D161" s="22" t="s">
        <v>578</v>
      </c>
      <c r="E161" s="71" t="str">
        <f t="shared" si="1"/>
        <v>12</v>
      </c>
    </row>
    <row r="162" spans="1:5" x14ac:dyDescent="0.3">
      <c r="A162" s="22" t="s">
        <v>351</v>
      </c>
      <c r="B162" s="22" t="s">
        <v>501</v>
      </c>
      <c r="C162" s="22" t="s">
        <v>588</v>
      </c>
      <c r="D162" s="22" t="s">
        <v>583</v>
      </c>
      <c r="E162" s="71" t="str">
        <f t="shared" si="1"/>
        <v>11</v>
      </c>
    </row>
    <row r="163" spans="1:5" x14ac:dyDescent="0.3">
      <c r="A163" s="22" t="s">
        <v>352</v>
      </c>
      <c r="B163" s="22" t="s">
        <v>502</v>
      </c>
      <c r="C163" s="22" t="s">
        <v>589</v>
      </c>
      <c r="D163" s="22" t="s">
        <v>583</v>
      </c>
      <c r="E163" s="71" t="str">
        <f t="shared" si="1"/>
        <v>10</v>
      </c>
    </row>
    <row r="164" spans="1:5" x14ac:dyDescent="0.3">
      <c r="A164" s="22" t="s">
        <v>353</v>
      </c>
      <c r="B164" s="22" t="s">
        <v>750</v>
      </c>
      <c r="C164" s="22" t="s">
        <v>590</v>
      </c>
      <c r="D164" s="22" t="s">
        <v>583</v>
      </c>
      <c r="E164" s="71" t="str">
        <f t="shared" si="1"/>
        <v>09</v>
      </c>
    </row>
    <row r="165" spans="1:5" x14ac:dyDescent="0.3">
      <c r="A165" s="22" t="s">
        <v>354</v>
      </c>
      <c r="B165" s="22" t="s">
        <v>749</v>
      </c>
      <c r="C165" s="22" t="s">
        <v>591</v>
      </c>
      <c r="D165" s="22" t="s">
        <v>580</v>
      </c>
      <c r="E165" s="71" t="str">
        <f t="shared" si="1"/>
        <v>08</v>
      </c>
    </row>
    <row r="166" spans="1:5" x14ac:dyDescent="0.3">
      <c r="A166" s="22" t="s">
        <v>355</v>
      </c>
      <c r="B166" s="22" t="s">
        <v>748</v>
      </c>
      <c r="C166" s="22" t="s">
        <v>592</v>
      </c>
      <c r="D166" s="22" t="s">
        <v>580</v>
      </c>
      <c r="E166" s="71" t="str">
        <f t="shared" si="1"/>
        <v>07</v>
      </c>
    </row>
    <row r="167" spans="1:5" x14ac:dyDescent="0.3">
      <c r="A167" s="22" t="s">
        <v>356</v>
      </c>
      <c r="B167" s="22" t="s">
        <v>747</v>
      </c>
      <c r="C167" s="22" t="s">
        <v>593</v>
      </c>
      <c r="D167" s="22" t="s">
        <v>580</v>
      </c>
      <c r="E167" s="71" t="str">
        <f t="shared" si="1"/>
        <v>06</v>
      </c>
    </row>
    <row r="168" spans="1:5" x14ac:dyDescent="0.3">
      <c r="A168" s="22" t="s">
        <v>357</v>
      </c>
      <c r="B168" s="22" t="s">
        <v>746</v>
      </c>
      <c r="C168" s="22" t="s">
        <v>594</v>
      </c>
      <c r="D168" s="22" t="s">
        <v>580</v>
      </c>
      <c r="E168" s="71" t="str">
        <f t="shared" si="1"/>
        <v>05</v>
      </c>
    </row>
    <row r="169" spans="1:5" ht="93.75" x14ac:dyDescent="0.3">
      <c r="A169" s="73" t="s">
        <v>741</v>
      </c>
      <c r="B169" s="75" t="s">
        <v>752</v>
      </c>
    </row>
    <row r="170" spans="1:5" x14ac:dyDescent="0.3">
      <c r="A170" s="22" t="s">
        <v>341</v>
      </c>
      <c r="B170" s="22" t="s">
        <v>491</v>
      </c>
      <c r="C170" s="22" t="s">
        <v>572</v>
      </c>
      <c r="D170" s="22" t="s">
        <v>580</v>
      </c>
      <c r="E170" s="71" t="str">
        <f t="shared" ref="E170:E201" si="2">MID(B170,5,2)</f>
        <v>01</v>
      </c>
    </row>
    <row r="171" spans="1:5" x14ac:dyDescent="0.3">
      <c r="A171" s="22" t="s">
        <v>360</v>
      </c>
      <c r="B171" s="22" t="s">
        <v>743</v>
      </c>
      <c r="C171" s="22" t="s">
        <v>597</v>
      </c>
      <c r="D171" s="22" t="s">
        <v>580</v>
      </c>
      <c r="E171" s="71" t="str">
        <f t="shared" si="2"/>
        <v>02</v>
      </c>
    </row>
    <row r="172" spans="1:5" x14ac:dyDescent="0.3">
      <c r="A172" s="22" t="s">
        <v>359</v>
      </c>
      <c r="B172" s="22" t="s">
        <v>744</v>
      </c>
      <c r="C172" s="22" t="s">
        <v>596</v>
      </c>
      <c r="D172" s="22" t="s">
        <v>580</v>
      </c>
      <c r="E172" s="71" t="str">
        <f t="shared" si="2"/>
        <v>03</v>
      </c>
    </row>
    <row r="173" spans="1:5" x14ac:dyDescent="0.3">
      <c r="A173" s="22" t="s">
        <v>358</v>
      </c>
      <c r="B173" s="22" t="s">
        <v>745</v>
      </c>
      <c r="C173" s="22" t="s">
        <v>595</v>
      </c>
      <c r="D173" s="22" t="s">
        <v>580</v>
      </c>
      <c r="E173" s="71" t="str">
        <f t="shared" si="2"/>
        <v>04</v>
      </c>
    </row>
    <row r="174" spans="1:5" x14ac:dyDescent="0.3">
      <c r="A174" s="22" t="s">
        <v>357</v>
      </c>
      <c r="B174" s="22" t="s">
        <v>746</v>
      </c>
      <c r="C174" s="22" t="s">
        <v>594</v>
      </c>
      <c r="D174" s="22" t="s">
        <v>580</v>
      </c>
      <c r="E174" s="71" t="str">
        <f t="shared" si="2"/>
        <v>05</v>
      </c>
    </row>
    <row r="175" spans="1:5" x14ac:dyDescent="0.3">
      <c r="A175" s="22" t="s">
        <v>356</v>
      </c>
      <c r="B175" s="22" t="s">
        <v>747</v>
      </c>
      <c r="C175" s="22" t="s">
        <v>593</v>
      </c>
      <c r="D175" s="22" t="s">
        <v>580</v>
      </c>
      <c r="E175" s="71" t="str">
        <f t="shared" si="2"/>
        <v>06</v>
      </c>
    </row>
    <row r="176" spans="1:5" x14ac:dyDescent="0.3">
      <c r="A176" s="22" t="s">
        <v>355</v>
      </c>
      <c r="B176" s="22" t="s">
        <v>748</v>
      </c>
      <c r="C176" s="22" t="s">
        <v>592</v>
      </c>
      <c r="D176" s="22" t="s">
        <v>580</v>
      </c>
      <c r="E176" s="71" t="str">
        <f t="shared" si="2"/>
        <v>07</v>
      </c>
    </row>
    <row r="177" spans="1:5" x14ac:dyDescent="0.3">
      <c r="A177" s="22" t="s">
        <v>354</v>
      </c>
      <c r="B177" s="22" t="s">
        <v>749</v>
      </c>
      <c r="C177" s="22" t="s">
        <v>591</v>
      </c>
      <c r="D177" s="22" t="s">
        <v>580</v>
      </c>
      <c r="E177" s="71" t="str">
        <f t="shared" si="2"/>
        <v>08</v>
      </c>
    </row>
    <row r="178" spans="1:5" x14ac:dyDescent="0.3">
      <c r="A178" s="22" t="s">
        <v>353</v>
      </c>
      <c r="B178" s="22" t="s">
        <v>750</v>
      </c>
      <c r="C178" s="22" t="s">
        <v>590</v>
      </c>
      <c r="D178" s="22" t="s">
        <v>583</v>
      </c>
      <c r="E178" s="71" t="str">
        <f t="shared" si="2"/>
        <v>09</v>
      </c>
    </row>
    <row r="179" spans="1:5" x14ac:dyDescent="0.3">
      <c r="A179" s="22" t="s">
        <v>352</v>
      </c>
      <c r="B179" s="22" t="s">
        <v>502</v>
      </c>
      <c r="C179" s="22" t="s">
        <v>589</v>
      </c>
      <c r="D179" s="22" t="s">
        <v>583</v>
      </c>
      <c r="E179" s="71" t="str">
        <f t="shared" si="2"/>
        <v>10</v>
      </c>
    </row>
    <row r="180" spans="1:5" x14ac:dyDescent="0.3">
      <c r="A180" s="22" t="s">
        <v>351</v>
      </c>
      <c r="B180" s="22" t="s">
        <v>501</v>
      </c>
      <c r="C180" s="22" t="s">
        <v>588</v>
      </c>
      <c r="D180" s="22" t="s">
        <v>583</v>
      </c>
      <c r="E180" s="71" t="str">
        <f t="shared" si="2"/>
        <v>11</v>
      </c>
    </row>
    <row r="181" spans="1:5" x14ac:dyDescent="0.3">
      <c r="A181" s="22" t="s">
        <v>350</v>
      </c>
      <c r="B181" s="22" t="s">
        <v>500</v>
      </c>
      <c r="C181" s="22" t="s">
        <v>587</v>
      </c>
      <c r="D181" s="22" t="s">
        <v>578</v>
      </c>
      <c r="E181" s="71" t="str">
        <f t="shared" si="2"/>
        <v>12</v>
      </c>
    </row>
    <row r="182" spans="1:5" x14ac:dyDescent="0.3">
      <c r="A182" s="22" t="s">
        <v>349</v>
      </c>
      <c r="B182" s="22" t="s">
        <v>499</v>
      </c>
      <c r="C182" s="22" t="s">
        <v>586</v>
      </c>
      <c r="D182" s="22" t="s">
        <v>578</v>
      </c>
      <c r="E182" s="71" t="str">
        <f t="shared" si="2"/>
        <v>13</v>
      </c>
    </row>
    <row r="183" spans="1:5" x14ac:dyDescent="0.3">
      <c r="A183" s="22" t="s">
        <v>348</v>
      </c>
      <c r="B183" s="22" t="s">
        <v>498</v>
      </c>
      <c r="C183" s="22" t="s">
        <v>585</v>
      </c>
      <c r="D183" s="22" t="s">
        <v>578</v>
      </c>
      <c r="E183" s="71" t="str">
        <f t="shared" si="2"/>
        <v>14</v>
      </c>
    </row>
    <row r="184" spans="1:5" x14ac:dyDescent="0.3">
      <c r="A184" s="22" t="s">
        <v>347</v>
      </c>
      <c r="B184" s="22" t="s">
        <v>497</v>
      </c>
      <c r="C184" s="22" t="s">
        <v>584</v>
      </c>
      <c r="D184" s="22" t="s">
        <v>583</v>
      </c>
      <c r="E184" s="71" t="str">
        <f t="shared" si="2"/>
        <v>15</v>
      </c>
    </row>
    <row r="185" spans="1:5" x14ac:dyDescent="0.3">
      <c r="A185" s="22" t="s">
        <v>346</v>
      </c>
      <c r="B185" s="22" t="s">
        <v>496</v>
      </c>
      <c r="C185" s="22">
        <v>11435114</v>
      </c>
      <c r="D185" s="22" t="s">
        <v>583</v>
      </c>
      <c r="E185" s="71" t="str">
        <f t="shared" si="2"/>
        <v>16</v>
      </c>
    </row>
    <row r="186" spans="1:5" x14ac:dyDescent="0.3">
      <c r="A186" s="22" t="s">
        <v>345</v>
      </c>
      <c r="B186" s="22" t="s">
        <v>495</v>
      </c>
      <c r="C186" s="22" t="s">
        <v>576</v>
      </c>
      <c r="D186" s="22" t="s">
        <v>582</v>
      </c>
      <c r="E186" s="71" t="str">
        <f t="shared" si="2"/>
        <v>17</v>
      </c>
    </row>
    <row r="187" spans="1:5" x14ac:dyDescent="0.3">
      <c r="A187" s="22" t="s">
        <v>344</v>
      </c>
      <c r="B187" s="22" t="s">
        <v>494</v>
      </c>
      <c r="C187" s="22" t="s">
        <v>575</v>
      </c>
      <c r="D187" s="22" t="s">
        <v>577</v>
      </c>
      <c r="E187" s="71" t="str">
        <f t="shared" si="2"/>
        <v>18</v>
      </c>
    </row>
    <row r="188" spans="1:5" x14ac:dyDescent="0.3">
      <c r="A188" s="22" t="s">
        <v>343</v>
      </c>
      <c r="B188" s="22" t="s">
        <v>493</v>
      </c>
      <c r="C188" s="22" t="s">
        <v>574</v>
      </c>
      <c r="D188" s="22" t="s">
        <v>577</v>
      </c>
      <c r="E188" s="71" t="str">
        <f t="shared" si="2"/>
        <v>19</v>
      </c>
    </row>
    <row r="189" spans="1:5" x14ac:dyDescent="0.3">
      <c r="A189" s="22" t="s">
        <v>342</v>
      </c>
      <c r="B189" s="22" t="s">
        <v>492</v>
      </c>
      <c r="C189" s="22" t="s">
        <v>573</v>
      </c>
      <c r="D189" s="22" t="s">
        <v>577</v>
      </c>
      <c r="E189" s="71" t="str">
        <f t="shared" si="2"/>
        <v>20</v>
      </c>
    </row>
    <row r="190" spans="1:5" x14ac:dyDescent="0.3">
      <c r="A190" s="22" t="s">
        <v>286</v>
      </c>
      <c r="B190" s="22" t="s">
        <v>436</v>
      </c>
      <c r="C190" s="22" t="s">
        <v>536</v>
      </c>
      <c r="D190" s="22" t="s">
        <v>540</v>
      </c>
      <c r="E190" s="71" t="str">
        <f t="shared" si="2"/>
        <v>21</v>
      </c>
    </row>
    <row r="191" spans="1:5" x14ac:dyDescent="0.3">
      <c r="A191" s="22" t="s">
        <v>287</v>
      </c>
      <c r="B191" s="22" t="s">
        <v>437</v>
      </c>
      <c r="C191" s="22" t="s">
        <v>537</v>
      </c>
      <c r="D191" s="22" t="s">
        <v>540</v>
      </c>
      <c r="E191" s="71" t="str">
        <f t="shared" si="2"/>
        <v>22</v>
      </c>
    </row>
    <row r="192" spans="1:5" x14ac:dyDescent="0.3">
      <c r="A192" s="22" t="s">
        <v>288</v>
      </c>
      <c r="B192" s="22" t="s">
        <v>438</v>
      </c>
      <c r="C192" s="22" t="s">
        <v>538</v>
      </c>
      <c r="D192" s="22" t="s">
        <v>540</v>
      </c>
      <c r="E192" s="71" t="str">
        <f t="shared" si="2"/>
        <v>23</v>
      </c>
    </row>
    <row r="193" spans="1:5" x14ac:dyDescent="0.3">
      <c r="A193" s="22" t="s">
        <v>289</v>
      </c>
      <c r="B193" s="22" t="s">
        <v>439</v>
      </c>
      <c r="C193" s="22" t="s">
        <v>539</v>
      </c>
      <c r="D193" s="22" t="s">
        <v>540</v>
      </c>
      <c r="E193" s="71" t="str">
        <f t="shared" si="2"/>
        <v>24</v>
      </c>
    </row>
    <row r="194" spans="1:5" x14ac:dyDescent="0.3">
      <c r="A194" s="22" t="s">
        <v>610</v>
      </c>
      <c r="B194" s="22" t="s">
        <v>440</v>
      </c>
      <c r="C194" s="22" t="s">
        <v>611</v>
      </c>
      <c r="D194" s="22" t="s">
        <v>540</v>
      </c>
      <c r="E194" s="71" t="str">
        <f t="shared" si="2"/>
        <v>25</v>
      </c>
    </row>
    <row r="195" spans="1:5" x14ac:dyDescent="0.3">
      <c r="A195" s="22" t="s">
        <v>291</v>
      </c>
      <c r="B195" s="22" t="s">
        <v>441</v>
      </c>
      <c r="C195" s="22" t="s">
        <v>541</v>
      </c>
      <c r="D195" s="22" t="s">
        <v>540</v>
      </c>
      <c r="E195" s="71" t="str">
        <f t="shared" si="2"/>
        <v>26</v>
      </c>
    </row>
    <row r="196" spans="1:5" x14ac:dyDescent="0.3">
      <c r="A196" s="22" t="s">
        <v>292</v>
      </c>
      <c r="B196" s="22" t="s">
        <v>442</v>
      </c>
      <c r="C196" s="22" t="s">
        <v>542</v>
      </c>
      <c r="D196" s="22" t="s">
        <v>546</v>
      </c>
      <c r="E196" s="71" t="str">
        <f t="shared" si="2"/>
        <v>27</v>
      </c>
    </row>
    <row r="197" spans="1:5" x14ac:dyDescent="0.3">
      <c r="A197" s="22" t="s">
        <v>293</v>
      </c>
      <c r="B197" s="22" t="s">
        <v>443</v>
      </c>
      <c r="C197" s="22" t="s">
        <v>543</v>
      </c>
      <c r="D197" s="22" t="s">
        <v>546</v>
      </c>
      <c r="E197" s="71" t="str">
        <f t="shared" si="2"/>
        <v>28</v>
      </c>
    </row>
    <row r="198" spans="1:5" x14ac:dyDescent="0.3">
      <c r="A198" s="22" t="s">
        <v>294</v>
      </c>
      <c r="B198" s="22" t="s">
        <v>444</v>
      </c>
      <c r="C198" s="22" t="s">
        <v>544</v>
      </c>
      <c r="D198" s="22" t="s">
        <v>546</v>
      </c>
      <c r="E198" s="71" t="str">
        <f t="shared" si="2"/>
        <v>29</v>
      </c>
    </row>
    <row r="199" spans="1:5" x14ac:dyDescent="0.3">
      <c r="A199" s="22" t="s">
        <v>295</v>
      </c>
      <c r="B199" s="22" t="s">
        <v>445</v>
      </c>
      <c r="C199" s="22" t="s">
        <v>545</v>
      </c>
      <c r="D199" s="22" t="s">
        <v>546</v>
      </c>
      <c r="E199" s="71" t="str">
        <f t="shared" si="2"/>
        <v>30</v>
      </c>
    </row>
    <row r="200" spans="1:5" x14ac:dyDescent="0.3">
      <c r="A200" s="22" t="s">
        <v>622</v>
      </c>
      <c r="B200" s="22" t="s">
        <v>446</v>
      </c>
      <c r="C200" s="22" t="s">
        <v>623</v>
      </c>
      <c r="D200" s="22" t="s">
        <v>546</v>
      </c>
      <c r="E200" s="71" t="str">
        <f t="shared" si="2"/>
        <v>31</v>
      </c>
    </row>
    <row r="201" spans="1:5" x14ac:dyDescent="0.3">
      <c r="A201" s="22" t="s">
        <v>297</v>
      </c>
      <c r="B201" s="22" t="s">
        <v>447</v>
      </c>
      <c r="C201" s="22" t="s">
        <v>547</v>
      </c>
      <c r="D201" s="22" t="s">
        <v>546</v>
      </c>
      <c r="E201" s="71" t="str">
        <f t="shared" si="2"/>
        <v>32</v>
      </c>
    </row>
    <row r="202" spans="1:5" x14ac:dyDescent="0.3">
      <c r="A202" s="22" t="s">
        <v>298</v>
      </c>
      <c r="B202" s="22" t="s">
        <v>448</v>
      </c>
      <c r="C202" s="22" t="s">
        <v>548</v>
      </c>
      <c r="D202" s="22" t="s">
        <v>546</v>
      </c>
      <c r="E202" s="71" t="str">
        <f t="shared" ref="E202:E233" si="3">MID(B202,5,2)</f>
        <v>33</v>
      </c>
    </row>
    <row r="203" spans="1:5" x14ac:dyDescent="0.3">
      <c r="A203" s="22" t="s">
        <v>633</v>
      </c>
      <c r="B203" s="22" t="s">
        <v>449</v>
      </c>
      <c r="C203" s="22" t="s">
        <v>624</v>
      </c>
      <c r="D203" s="22" t="s">
        <v>551</v>
      </c>
      <c r="E203" s="71" t="str">
        <f t="shared" si="3"/>
        <v>34</v>
      </c>
    </row>
    <row r="204" spans="1:5" x14ac:dyDescent="0.3">
      <c r="A204" s="22" t="s">
        <v>634</v>
      </c>
      <c r="B204" s="22" t="s">
        <v>450</v>
      </c>
      <c r="C204" s="22" t="s">
        <v>625</v>
      </c>
      <c r="D204" s="22" t="s">
        <v>551</v>
      </c>
      <c r="E204" s="71" t="str">
        <f t="shared" si="3"/>
        <v>35</v>
      </c>
    </row>
    <row r="205" spans="1:5" x14ac:dyDescent="0.3">
      <c r="A205" s="22" t="s">
        <v>635</v>
      </c>
      <c r="B205" s="22" t="s">
        <v>451</v>
      </c>
      <c r="C205" s="22" t="s">
        <v>626</v>
      </c>
      <c r="D205" s="22" t="s">
        <v>551</v>
      </c>
      <c r="E205" s="71" t="str">
        <f t="shared" si="3"/>
        <v>36</v>
      </c>
    </row>
    <row r="206" spans="1:5" x14ac:dyDescent="0.3">
      <c r="A206" s="22" t="s">
        <v>636</v>
      </c>
      <c r="B206" s="22" t="s">
        <v>452</v>
      </c>
      <c r="C206" s="22" t="s">
        <v>627</v>
      </c>
      <c r="D206" s="22" t="s">
        <v>632</v>
      </c>
      <c r="E206" s="71" t="str">
        <f t="shared" si="3"/>
        <v>37</v>
      </c>
    </row>
    <row r="207" spans="1:5" x14ac:dyDescent="0.3">
      <c r="A207" s="22" t="s">
        <v>637</v>
      </c>
      <c r="B207" s="22" t="s">
        <v>453</v>
      </c>
      <c r="C207" s="22" t="s">
        <v>628</v>
      </c>
      <c r="D207" s="22" t="s">
        <v>632</v>
      </c>
      <c r="E207" s="71" t="str">
        <f t="shared" si="3"/>
        <v>38</v>
      </c>
    </row>
    <row r="208" spans="1:5" x14ac:dyDescent="0.3">
      <c r="A208" s="22" t="s">
        <v>638</v>
      </c>
      <c r="B208" s="22" t="s">
        <v>454</v>
      </c>
      <c r="C208" s="22" t="s">
        <v>629</v>
      </c>
      <c r="D208" s="22" t="s">
        <v>632</v>
      </c>
      <c r="E208" s="71" t="str">
        <f t="shared" si="3"/>
        <v>39</v>
      </c>
    </row>
    <row r="209" spans="1:5" x14ac:dyDescent="0.3">
      <c r="A209" s="22" t="s">
        <v>639</v>
      </c>
      <c r="B209" s="22" t="s">
        <v>455</v>
      </c>
      <c r="C209" s="22" t="s">
        <v>630</v>
      </c>
      <c r="D209" s="22" t="s">
        <v>632</v>
      </c>
      <c r="E209" s="71" t="str">
        <f t="shared" si="3"/>
        <v>40</v>
      </c>
    </row>
    <row r="210" spans="1:5" x14ac:dyDescent="0.3">
      <c r="A210" s="22" t="s">
        <v>640</v>
      </c>
      <c r="B210" s="22" t="s">
        <v>456</v>
      </c>
      <c r="C210" s="22" t="s">
        <v>631</v>
      </c>
      <c r="D210" s="22" t="s">
        <v>632</v>
      </c>
      <c r="E210" s="71" t="str">
        <f t="shared" si="3"/>
        <v>41</v>
      </c>
    </row>
    <row r="211" spans="1:5" x14ac:dyDescent="0.3">
      <c r="A211" s="22" t="s">
        <v>340</v>
      </c>
      <c r="B211" s="22" t="s">
        <v>490</v>
      </c>
      <c r="C211" s="22" t="s">
        <v>571</v>
      </c>
      <c r="D211" s="22" t="s">
        <v>550</v>
      </c>
      <c r="E211" s="71" t="str">
        <f t="shared" si="3"/>
        <v>42</v>
      </c>
    </row>
    <row r="212" spans="1:5" x14ac:dyDescent="0.3">
      <c r="A212" s="22" t="s">
        <v>339</v>
      </c>
      <c r="B212" s="22" t="s">
        <v>489</v>
      </c>
      <c r="C212" s="22" t="s">
        <v>570</v>
      </c>
      <c r="D212" s="22" t="s">
        <v>550</v>
      </c>
      <c r="E212" s="71" t="str">
        <f t="shared" si="3"/>
        <v>43</v>
      </c>
    </row>
    <row r="213" spans="1:5" x14ac:dyDescent="0.3">
      <c r="A213" s="22" t="s">
        <v>338</v>
      </c>
      <c r="B213" s="22" t="s">
        <v>488</v>
      </c>
      <c r="C213" s="22" t="s">
        <v>569</v>
      </c>
      <c r="D213" s="22" t="s">
        <v>581</v>
      </c>
      <c r="E213" s="71" t="str">
        <f t="shared" si="3"/>
        <v>44</v>
      </c>
    </row>
    <row r="214" spans="1:5" x14ac:dyDescent="0.3">
      <c r="A214" s="22" t="s">
        <v>337</v>
      </c>
      <c r="B214" s="22" t="s">
        <v>487</v>
      </c>
      <c r="C214" s="22" t="s">
        <v>568</v>
      </c>
      <c r="D214" s="22" t="s">
        <v>581</v>
      </c>
      <c r="E214" s="71" t="str">
        <f t="shared" si="3"/>
        <v>45</v>
      </c>
    </row>
    <row r="215" spans="1:5" x14ac:dyDescent="0.3">
      <c r="A215" s="22" t="s">
        <v>299</v>
      </c>
      <c r="B215" s="22" t="s">
        <v>457</v>
      </c>
      <c r="C215" s="22" t="s">
        <v>549</v>
      </c>
      <c r="D215" s="22" t="s">
        <v>550</v>
      </c>
      <c r="E215" s="71" t="str">
        <f t="shared" si="3"/>
        <v>46</v>
      </c>
    </row>
    <row r="216" spans="1:5" x14ac:dyDescent="0.3">
      <c r="A216" s="22" t="s">
        <v>336</v>
      </c>
      <c r="B216" s="22" t="s">
        <v>486</v>
      </c>
      <c r="C216" s="22" t="s">
        <v>567</v>
      </c>
      <c r="D216" s="22" t="s">
        <v>550</v>
      </c>
      <c r="E216" s="71" t="str">
        <f t="shared" si="3"/>
        <v>47</v>
      </c>
    </row>
    <row r="217" spans="1:5" x14ac:dyDescent="0.3">
      <c r="A217" s="22" t="s">
        <v>335</v>
      </c>
      <c r="B217" s="22" t="s">
        <v>485</v>
      </c>
      <c r="C217" s="22" t="s">
        <v>566</v>
      </c>
      <c r="D217" s="22" t="s">
        <v>580</v>
      </c>
      <c r="E217" s="71" t="str">
        <f t="shared" si="3"/>
        <v>48</v>
      </c>
    </row>
    <row r="218" spans="1:5" x14ac:dyDescent="0.3">
      <c r="A218" s="22" t="s">
        <v>334</v>
      </c>
      <c r="B218" s="22" t="s">
        <v>484</v>
      </c>
      <c r="C218" s="22" t="s">
        <v>565</v>
      </c>
      <c r="D218" s="22" t="s">
        <v>580</v>
      </c>
      <c r="E218" s="71" t="str">
        <f t="shared" si="3"/>
        <v>49</v>
      </c>
    </row>
    <row r="219" spans="1:5" x14ac:dyDescent="0.3">
      <c r="A219" s="22" t="s">
        <v>333</v>
      </c>
      <c r="B219" s="22" t="s">
        <v>483</v>
      </c>
      <c r="C219" s="22">
        <v>1411162670</v>
      </c>
      <c r="D219" s="22" t="s">
        <v>579</v>
      </c>
      <c r="E219" s="71" t="str">
        <f t="shared" si="3"/>
        <v>50</v>
      </c>
    </row>
    <row r="220" spans="1:5" x14ac:dyDescent="0.3">
      <c r="A220" s="22" t="s">
        <v>332</v>
      </c>
      <c r="B220" s="22" t="s">
        <v>482</v>
      </c>
      <c r="C220" s="22" t="s">
        <v>564</v>
      </c>
      <c r="D220" s="22" t="s">
        <v>578</v>
      </c>
      <c r="E220" s="71" t="str">
        <f t="shared" si="3"/>
        <v>51</v>
      </c>
    </row>
    <row r="221" spans="1:5" x14ac:dyDescent="0.3">
      <c r="A221" s="22" t="s">
        <v>331</v>
      </c>
      <c r="B221" s="22" t="s">
        <v>481</v>
      </c>
      <c r="C221" s="22" t="s">
        <v>563</v>
      </c>
      <c r="D221" s="22" t="s">
        <v>578</v>
      </c>
      <c r="E221" s="71" t="str">
        <f t="shared" si="3"/>
        <v>52</v>
      </c>
    </row>
    <row r="222" spans="1:5" x14ac:dyDescent="0.3">
      <c r="A222" s="22" t="s">
        <v>330</v>
      </c>
      <c r="B222" s="22" t="s">
        <v>480</v>
      </c>
      <c r="C222" s="22" t="s">
        <v>562</v>
      </c>
      <c r="D222" s="22" t="s">
        <v>578</v>
      </c>
      <c r="E222" s="71" t="str">
        <f t="shared" si="3"/>
        <v>53</v>
      </c>
    </row>
    <row r="223" spans="1:5" x14ac:dyDescent="0.3">
      <c r="A223" s="22" t="s">
        <v>329</v>
      </c>
      <c r="B223" s="22" t="s">
        <v>479</v>
      </c>
      <c r="C223" s="22" t="s">
        <v>561</v>
      </c>
      <c r="D223" s="22" t="s">
        <v>578</v>
      </c>
      <c r="E223" s="71" t="str">
        <f t="shared" si="3"/>
        <v>54</v>
      </c>
    </row>
    <row r="224" spans="1:5" x14ac:dyDescent="0.3">
      <c r="A224" s="22" t="s">
        <v>328</v>
      </c>
      <c r="B224" s="22" t="s">
        <v>478</v>
      </c>
      <c r="C224" s="22" t="s">
        <v>560</v>
      </c>
      <c r="D224" s="22" t="s">
        <v>578</v>
      </c>
      <c r="E224" s="71" t="str">
        <f t="shared" si="3"/>
        <v>55</v>
      </c>
    </row>
    <row r="225" spans="1:5" x14ac:dyDescent="0.3">
      <c r="A225" s="22" t="s">
        <v>327</v>
      </c>
      <c r="B225" s="22" t="s">
        <v>477</v>
      </c>
      <c r="C225" s="22" t="s">
        <v>559</v>
      </c>
      <c r="D225" s="22" t="s">
        <v>577</v>
      </c>
      <c r="E225" s="71" t="str">
        <f t="shared" si="3"/>
        <v>56</v>
      </c>
    </row>
    <row r="226" spans="1:5" x14ac:dyDescent="0.3">
      <c r="A226" s="22" t="s">
        <v>326</v>
      </c>
      <c r="B226" s="22" t="s">
        <v>476</v>
      </c>
      <c r="C226" s="22" t="s">
        <v>558</v>
      </c>
      <c r="D226" s="22" t="s">
        <v>577</v>
      </c>
      <c r="E226" s="71" t="str">
        <f t="shared" si="3"/>
        <v>57</v>
      </c>
    </row>
    <row r="227" spans="1:5" x14ac:dyDescent="0.3">
      <c r="A227" s="22" t="s">
        <v>325</v>
      </c>
      <c r="B227" s="22" t="s">
        <v>475</v>
      </c>
      <c r="C227" s="22" t="s">
        <v>557</v>
      </c>
      <c r="D227" s="22" t="s">
        <v>577</v>
      </c>
      <c r="E227" s="71" t="str">
        <f t="shared" si="3"/>
        <v>58</v>
      </c>
    </row>
    <row r="228" spans="1:5" x14ac:dyDescent="0.3">
      <c r="A228" s="22" t="s">
        <v>324</v>
      </c>
      <c r="B228" s="22" t="s">
        <v>474</v>
      </c>
      <c r="C228" s="22" t="s">
        <v>556</v>
      </c>
      <c r="D228" s="22" t="s">
        <v>577</v>
      </c>
      <c r="E228" s="71" t="str">
        <f t="shared" si="3"/>
        <v>59</v>
      </c>
    </row>
    <row r="229" spans="1:5" x14ac:dyDescent="0.3">
      <c r="A229" s="22" t="s">
        <v>323</v>
      </c>
      <c r="B229" s="22" t="s">
        <v>473</v>
      </c>
      <c r="C229" s="22" t="s">
        <v>555</v>
      </c>
      <c r="D229" s="22" t="s">
        <v>577</v>
      </c>
      <c r="E229" s="71" t="str">
        <f t="shared" si="3"/>
        <v>60</v>
      </c>
    </row>
    <row r="230" spans="1:5" x14ac:dyDescent="0.3">
      <c r="A230" s="22" t="s">
        <v>322</v>
      </c>
      <c r="B230" s="22" t="s">
        <v>472</v>
      </c>
      <c r="C230" s="22" t="s">
        <v>554</v>
      </c>
      <c r="D230" s="22" t="s">
        <v>577</v>
      </c>
      <c r="E230" s="71" t="str">
        <f t="shared" si="3"/>
        <v>61</v>
      </c>
    </row>
    <row r="231" spans="1:5" x14ac:dyDescent="0.3">
      <c r="A231" s="22" t="s">
        <v>604</v>
      </c>
      <c r="B231" s="22" t="s">
        <v>471</v>
      </c>
      <c r="C231" s="22" t="s">
        <v>598</v>
      </c>
      <c r="D231" s="22" t="s">
        <v>540</v>
      </c>
      <c r="E231" s="71" t="str">
        <f t="shared" si="3"/>
        <v>62</v>
      </c>
    </row>
    <row r="232" spans="1:5" x14ac:dyDescent="0.3">
      <c r="A232" s="22" t="s">
        <v>605</v>
      </c>
      <c r="B232" s="22" t="s">
        <v>470</v>
      </c>
      <c r="C232" s="22" t="s">
        <v>599</v>
      </c>
      <c r="D232" s="22" t="s">
        <v>540</v>
      </c>
      <c r="E232" s="71" t="str">
        <f t="shared" si="3"/>
        <v>63</v>
      </c>
    </row>
    <row r="233" spans="1:5" x14ac:dyDescent="0.3">
      <c r="A233" s="22" t="s">
        <v>606</v>
      </c>
      <c r="B233" s="22" t="s">
        <v>469</v>
      </c>
      <c r="C233" s="22" t="s">
        <v>600</v>
      </c>
      <c r="D233" s="22" t="s">
        <v>540</v>
      </c>
      <c r="E233" s="71" t="str">
        <f t="shared" si="3"/>
        <v>64</v>
      </c>
    </row>
    <row r="234" spans="1:5" x14ac:dyDescent="0.3">
      <c r="A234" s="22" t="s">
        <v>607</v>
      </c>
      <c r="B234" s="22" t="s">
        <v>468</v>
      </c>
      <c r="C234" s="22" t="s">
        <v>601</v>
      </c>
      <c r="D234" s="22" t="s">
        <v>540</v>
      </c>
      <c r="E234" s="71" t="str">
        <f t="shared" ref="E234:E251" si="4">MID(B234,5,2)</f>
        <v>65</v>
      </c>
    </row>
    <row r="235" spans="1:5" x14ac:dyDescent="0.3">
      <c r="A235" s="22" t="s">
        <v>608</v>
      </c>
      <c r="B235" s="22" t="s">
        <v>467</v>
      </c>
      <c r="C235" s="22" t="s">
        <v>602</v>
      </c>
      <c r="D235" s="22" t="s">
        <v>540</v>
      </c>
      <c r="E235" s="71" t="str">
        <f t="shared" si="4"/>
        <v>66</v>
      </c>
    </row>
    <row r="236" spans="1:5" x14ac:dyDescent="0.3">
      <c r="A236" s="22" t="s">
        <v>609</v>
      </c>
      <c r="B236" s="22" t="s">
        <v>466</v>
      </c>
      <c r="C236" s="22" t="s">
        <v>603</v>
      </c>
      <c r="D236" s="22" t="s">
        <v>540</v>
      </c>
      <c r="E236" s="71" t="str">
        <f t="shared" si="4"/>
        <v>67</v>
      </c>
    </row>
    <row r="237" spans="1:5" x14ac:dyDescent="0.3">
      <c r="A237" s="22" t="s">
        <v>614</v>
      </c>
      <c r="B237" s="22" t="s">
        <v>465</v>
      </c>
      <c r="C237" s="22" t="s">
        <v>615</v>
      </c>
      <c r="D237" s="22" t="s">
        <v>546</v>
      </c>
      <c r="E237" s="71" t="str">
        <f t="shared" si="4"/>
        <v>68</v>
      </c>
    </row>
    <row r="238" spans="1:5" x14ac:dyDescent="0.3">
      <c r="A238" s="22" t="s">
        <v>616</v>
      </c>
      <c r="B238" s="22" t="s">
        <v>464</v>
      </c>
      <c r="C238" s="22" t="s">
        <v>617</v>
      </c>
      <c r="D238" s="22" t="s">
        <v>546</v>
      </c>
      <c r="E238" s="71" t="str">
        <f t="shared" si="4"/>
        <v>69</v>
      </c>
    </row>
    <row r="239" spans="1:5" x14ac:dyDescent="0.3">
      <c r="A239" s="22" t="s">
        <v>618</v>
      </c>
      <c r="B239" s="22" t="s">
        <v>463</v>
      </c>
      <c r="C239" s="22" t="s">
        <v>619</v>
      </c>
      <c r="D239" s="22" t="s">
        <v>546</v>
      </c>
      <c r="E239" s="71" t="str">
        <f t="shared" si="4"/>
        <v>70</v>
      </c>
    </row>
    <row r="240" spans="1:5" x14ac:dyDescent="0.3">
      <c r="A240" s="22" t="s">
        <v>612</v>
      </c>
      <c r="B240" s="22" t="s">
        <v>462</v>
      </c>
      <c r="C240" s="22" t="s">
        <v>613</v>
      </c>
      <c r="D240" s="22" t="s">
        <v>546</v>
      </c>
      <c r="E240" s="71" t="str">
        <f t="shared" si="4"/>
        <v>71</v>
      </c>
    </row>
    <row r="241" spans="1:5" x14ac:dyDescent="0.3">
      <c r="A241" s="22" t="s">
        <v>621</v>
      </c>
      <c r="B241" s="22" t="s">
        <v>461</v>
      </c>
      <c r="C241" s="22" t="s">
        <v>620</v>
      </c>
      <c r="D241" s="22" t="s">
        <v>546</v>
      </c>
      <c r="E241" s="71" t="str">
        <f t="shared" si="4"/>
        <v>72</v>
      </c>
    </row>
    <row r="242" spans="1:5" x14ac:dyDescent="0.3">
      <c r="A242" s="22" t="s">
        <v>310</v>
      </c>
      <c r="B242" s="22" t="s">
        <v>460</v>
      </c>
      <c r="C242" s="22" t="s">
        <v>553</v>
      </c>
      <c r="D242" s="22" t="s">
        <v>546</v>
      </c>
      <c r="E242" s="71" t="str">
        <f t="shared" si="4"/>
        <v>73</v>
      </c>
    </row>
    <row r="243" spans="1:5" x14ac:dyDescent="0.3">
      <c r="A243" s="22" t="s">
        <v>309</v>
      </c>
      <c r="B243" s="22" t="s">
        <v>459</v>
      </c>
      <c r="C243" s="22" t="s">
        <v>552</v>
      </c>
      <c r="D243" s="22" t="s">
        <v>551</v>
      </c>
      <c r="E243" s="71" t="str">
        <f t="shared" si="4"/>
        <v>74</v>
      </c>
    </row>
    <row r="244" spans="1:5" x14ac:dyDescent="0.3">
      <c r="A244" s="22" t="s">
        <v>308</v>
      </c>
      <c r="B244" s="22" t="s">
        <v>458</v>
      </c>
      <c r="C244" s="22">
        <v>1421007424</v>
      </c>
      <c r="D244" s="22" t="s">
        <v>551</v>
      </c>
      <c r="E244" s="71" t="str">
        <f t="shared" si="4"/>
        <v>75</v>
      </c>
    </row>
    <row r="245" spans="1:5" x14ac:dyDescent="0.3">
      <c r="A245" s="9" t="s">
        <v>179</v>
      </c>
      <c r="B245" s="22" t="s">
        <v>193</v>
      </c>
      <c r="C245" s="70">
        <v>231200117594</v>
      </c>
      <c r="D245" s="22" t="s">
        <v>194</v>
      </c>
      <c r="E245" s="71" t="str">
        <f t="shared" si="4"/>
        <v>76</v>
      </c>
    </row>
    <row r="246" spans="1:5" x14ac:dyDescent="0.3">
      <c r="A246" s="9" t="s">
        <v>181</v>
      </c>
      <c r="B246" s="22" t="s">
        <v>199</v>
      </c>
      <c r="C246" s="70">
        <v>231200117599</v>
      </c>
      <c r="D246" s="22" t="s">
        <v>194</v>
      </c>
      <c r="E246" s="71" t="str">
        <f t="shared" si="4"/>
        <v>77</v>
      </c>
    </row>
    <row r="247" spans="1:5" x14ac:dyDescent="0.3">
      <c r="A247" s="9" t="s">
        <v>183</v>
      </c>
      <c r="B247" s="22" t="s">
        <v>203</v>
      </c>
      <c r="C247" s="70">
        <v>231200117593</v>
      </c>
      <c r="D247" s="22" t="s">
        <v>204</v>
      </c>
      <c r="E247" s="71" t="str">
        <f t="shared" si="4"/>
        <v>78</v>
      </c>
    </row>
    <row r="248" spans="1:5" x14ac:dyDescent="0.3">
      <c r="A248" s="9" t="s">
        <v>180</v>
      </c>
      <c r="B248" s="22" t="s">
        <v>197</v>
      </c>
      <c r="C248" s="70">
        <v>231200117598</v>
      </c>
      <c r="D248" s="22" t="s">
        <v>194</v>
      </c>
      <c r="E248" s="71" t="str">
        <f t="shared" si="4"/>
        <v>79</v>
      </c>
    </row>
    <row r="249" spans="1:5" x14ac:dyDescent="0.3">
      <c r="A249" s="9" t="s">
        <v>182</v>
      </c>
      <c r="B249" s="22" t="s">
        <v>201</v>
      </c>
      <c r="C249" s="70">
        <v>231200117600</v>
      </c>
      <c r="D249" s="22" t="s">
        <v>194</v>
      </c>
      <c r="E249" s="71" t="str">
        <f t="shared" si="4"/>
        <v>80</v>
      </c>
    </row>
    <row r="250" spans="1:5" x14ac:dyDescent="0.3">
      <c r="A250" s="9" t="s">
        <v>184</v>
      </c>
      <c r="B250" s="22" t="s">
        <v>206</v>
      </c>
      <c r="C250" s="70">
        <v>231200117595</v>
      </c>
      <c r="D250" s="22" t="s">
        <v>194</v>
      </c>
      <c r="E250" s="71" t="str">
        <f t="shared" si="4"/>
        <v>81</v>
      </c>
    </row>
    <row r="251" spans="1:5" x14ac:dyDescent="0.3">
      <c r="A251" s="9" t="s">
        <v>185</v>
      </c>
      <c r="B251" s="22" t="s">
        <v>208</v>
      </c>
      <c r="C251" s="70">
        <v>231200117596</v>
      </c>
      <c r="D251" s="22" t="s">
        <v>204</v>
      </c>
      <c r="E251" s="71" t="str">
        <f t="shared" si="4"/>
        <v>82</v>
      </c>
    </row>
  </sheetData>
  <sortState xmlns:xlrd2="http://schemas.microsoft.com/office/spreadsheetml/2017/richdata2" caseSensitive="1" ref="A170:E251">
    <sortCondition ref="E170:E251"/>
  </sortState>
  <pageMargins left="0.7" right="0.7" top="0.75" bottom="0.75" header="0.3" footer="0.3"/>
  <pageSetup paperSize="8" scale="76" fitToHeight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Sheet</vt:lpstr>
      <vt:lpstr>AM16 web</vt:lpstr>
      <vt:lpstr> gửi Ánh</vt:lpstr>
      <vt:lpstr>Đã thanh lý</vt:lpstr>
      <vt:lpstr>Ánh chuyển</vt:lpstr>
      <vt:lpstr>Chị VA gửi 01.12.2025</vt:lpstr>
      <vt:lpstr>Tách chuỗi</vt:lpstr>
      <vt:lpstr>Vlookup</vt:lpstr>
      <vt:lpstr>Tips</vt:lpstr>
      <vt:lpstr>Sắp xếp thứ tự</vt:lpstr>
      <vt:lpstr>'AM16 web'!Print_Area</vt:lpstr>
      <vt:lpstr>'Ánh chuyển'!Print_Area</vt:lpstr>
      <vt:lpstr>'Đã thanh lý'!Print_Area</vt:lpstr>
      <vt:lpstr>'Sắp xếp thứ tự'!Print_Area</vt:lpstr>
      <vt:lpstr>Sheet!Print_Area</vt:lpstr>
      <vt:lpstr>Vlookup!Print_Area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Tam Phan</cp:lastModifiedBy>
  <cp:lastPrinted>2024-09-27T02:56:27Z</cp:lastPrinted>
  <dcterms:created xsi:type="dcterms:W3CDTF">2024-01-04T02:12:18Z</dcterms:created>
  <dcterms:modified xsi:type="dcterms:W3CDTF">2026-01-07T03:15:37Z</dcterms:modified>
</cp:coreProperties>
</file>